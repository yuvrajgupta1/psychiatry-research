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Downloads\"/>
    </mc:Choice>
  </mc:AlternateContent>
  <xr:revisionPtr revIDLastSave="0" documentId="8_{16464D2E-0380-452C-8DE5-E5C4516AF590}" xr6:coauthVersionLast="47" xr6:coauthVersionMax="47" xr10:uidLastSave="{00000000-0000-0000-0000-000000000000}"/>
  <bookViews>
    <workbookView xWindow="-108" yWindow="-108" windowWidth="23256" windowHeight="12456" xr2:uid="{DD5D9E3B-01EF-4FCB-92A9-4C4CE76F16E8}"/>
  </bookViews>
  <sheets>
    <sheet name="Lenient Accuracy Calculation" sheetId="2" r:id="rId1"/>
    <sheet name="Recall@10 Calculation"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4" i="2" l="1"/>
  <c r="G104" i="2"/>
  <c r="F104" i="2"/>
  <c r="E104" i="2"/>
  <c r="H102" i="2"/>
  <c r="G102" i="2"/>
  <c r="F102" i="2"/>
  <c r="E102" i="2"/>
  <c r="A97" i="2"/>
  <c r="J97" i="2"/>
  <c r="A97" i="1"/>
  <c r="D93" i="1"/>
  <c r="H89" i="1"/>
  <c r="F89" i="1"/>
  <c r="D89" i="1"/>
  <c r="F84" i="1"/>
  <c r="D84" i="1"/>
  <c r="H82" i="1"/>
  <c r="F81" i="1"/>
  <c r="H78" i="1"/>
  <c r="F78" i="1"/>
  <c r="D78" i="1"/>
  <c r="H77" i="1"/>
  <c r="F77" i="1"/>
  <c r="D77" i="1"/>
  <c r="H74" i="1"/>
  <c r="F74" i="1"/>
  <c r="D74" i="1"/>
  <c r="H73" i="1"/>
  <c r="F73" i="1"/>
  <c r="D73" i="1"/>
  <c r="H72" i="1"/>
  <c r="D72" i="1"/>
  <c r="H67" i="1"/>
  <c r="F67" i="1"/>
  <c r="D67" i="1"/>
  <c r="H65" i="1"/>
  <c r="F65" i="1"/>
  <c r="H63" i="1"/>
  <c r="F63" i="1"/>
  <c r="H53" i="1"/>
  <c r="D53" i="1"/>
  <c r="F53" i="1"/>
  <c r="H51" i="1"/>
  <c r="F51" i="1"/>
  <c r="H50" i="1"/>
  <c r="F50" i="1"/>
  <c r="F49" i="1"/>
  <c r="F47" i="1"/>
  <c r="F44" i="1"/>
  <c r="D44" i="1"/>
  <c r="H42" i="1"/>
  <c r="F42" i="1"/>
  <c r="D42" i="1"/>
  <c r="H37" i="1"/>
  <c r="F37" i="1"/>
  <c r="D37" i="1"/>
  <c r="H33" i="1"/>
  <c r="F33" i="1"/>
  <c r="D33" i="1"/>
  <c r="H32" i="1"/>
  <c r="F32" i="1"/>
  <c r="D32" i="1"/>
  <c r="H30" i="1"/>
  <c r="H28" i="1"/>
  <c r="F28" i="1"/>
  <c r="D28" i="1"/>
  <c r="H27" i="1"/>
  <c r="F27" i="1"/>
  <c r="D27" i="1"/>
  <c r="H24" i="1"/>
  <c r="F24" i="1"/>
  <c r="D24" i="1"/>
  <c r="H19" i="1"/>
  <c r="F19" i="1"/>
  <c r="D19" i="1"/>
  <c r="D17" i="1"/>
  <c r="H17" i="1"/>
  <c r="D16" i="1"/>
  <c r="H16" i="1"/>
  <c r="F16" i="1"/>
  <c r="H15" i="1"/>
  <c r="F15" i="1"/>
  <c r="D15" i="1"/>
  <c r="F13" i="1"/>
  <c r="H8" i="1"/>
  <c r="F8" i="1"/>
  <c r="D8" i="1"/>
  <c r="H7" i="1"/>
  <c r="F7" i="1"/>
  <c r="H5" i="1"/>
  <c r="F5" i="1"/>
  <c r="D5" i="1"/>
  <c r="H4" i="1"/>
  <c r="F4" i="1"/>
  <c r="D4" i="1"/>
  <c r="I97" i="2" l="1"/>
  <c r="D97" i="1"/>
  <c r="C97" i="1" s="1"/>
  <c r="H97" i="1"/>
  <c r="G97" i="1" s="1"/>
  <c r="F97" i="1"/>
  <c r="E97" i="1" s="1"/>
</calcChain>
</file>

<file path=xl/sharedStrings.xml><?xml version="1.0" encoding="utf-8"?>
<sst xmlns="http://schemas.openxmlformats.org/spreadsheetml/2006/main" count="791" uniqueCount="385">
  <si>
    <t>Case No.</t>
  </si>
  <si>
    <t>ADHD</t>
  </si>
  <si>
    <t>Book Diagnosis</t>
  </si>
  <si>
    <t>Panic disorder with agoraphobia, depression</t>
  </si>
  <si>
    <t>Opioid toxicity, depression</t>
  </si>
  <si>
    <t>bipolar disorder</t>
  </si>
  <si>
    <t>double depression</t>
  </si>
  <si>
    <t>Hypomania, Drug-induced manic episode, Organic mood disorder, Schizophrenia, Schizoaffective disorder, Acute confusional state</t>
  </si>
  <si>
    <t>Baby blues, puerperal depression, puerperal psychosis</t>
  </si>
  <si>
    <t>Schizophrenia, schizoaffective disorder, drug-related psychosis, organic medical conditions</t>
  </si>
  <si>
    <t>Organic psychosis, schizophrenia, bipolar disorder, brief reactive psychosis</t>
  </si>
  <si>
    <t>Schizophrenia</t>
  </si>
  <si>
    <t>Attention-Deficit/Hyperactivity Disorder, combined presentation (adult), Obstructive Sleep Apnea or other Sleep-Wake Disorder contributing to inattention/daytime sleepiness, Adjustment Disorder with Depressed Mood , Normal variation/stress-related attention difficulties</t>
  </si>
  <si>
    <t>Generalized Anxiety Disorder, Adjustment Disorder with Anxiety (persistent), Substance/Medication-Induced Anxiety Disorder, Anxiety Disorder Due to Another Medical Condition (rule out), Insomnia Disorder (comorbid or secondary to anxiety)</t>
  </si>
  <si>
    <t>Social Anxiety Disorder, Panic attacks (specifier) in the context of Social Anxiety, Adjustment Disorder with Anxiety (exacerbation), Specific Phobia (situational, public speaking), Generalized Anxiety Disorder, Depressive Disorder, current episode</t>
  </si>
  <si>
    <t>Obsessive-Compulsive Disorder (with good/fair insight), Adjustment Disorder with Anxiety, Generalized Anxiety Disorder, Depressive Disorder, Obsessive-Compulsive Personality Disorder, Anxiety Disorder Due to Another Medical Condition/Substance-Induced OCD and Related Disorder</t>
  </si>
  <si>
    <t>Panic disorder (with nocturnal panic), Agoraphobia (comorbid or with panic), Illness anxiety disorder vs somatic symptom disorder (cardiac-focused), Anxiety disorder due to another medical condition (rule out), Depressive disorder</t>
  </si>
  <si>
    <t>Obsessive-Compulsive Disorder (harm-related obsessions, checking/reassurance), Generalized Anxiety Disorder, Adult Separation Anxiety Disorder, Adjustment Disorder with Anxiety, Panic Disorder, Insomnia Disorder</t>
  </si>
  <si>
    <t>Schizophreniform disorder (first episode, in remission on medication), Brief psychotic disorder, Schizophrenia (first episode), Adjustment disorder with depressed mood, Substance use disorder</t>
  </si>
  <si>
    <t>Opioid Use Disorder, severe, Opioid Intoxication (resolving) and/or Opioid Overdose (recent), Opioid Withdrawal (emerging), Depressive Disorder (Major Depressive Disorder vs. Substance/Medication-Induced Depressive Disorder), Generalized Anxiety Disorder (rule out), Tobacco Use Disorder (Nicotine Dependence), Trauma- and Stressor-Related Disorder (rule out)</t>
  </si>
  <si>
    <t>Bipolar I disorder, current episode depressed, Bereavement-related depressive episode vs Prolonged Grief Disorder, Major Depressive Disorder, single episode, severe without psychotic features (less likely given history suggestive of prior mania), Depressive disorder due to another medical condition or substance/medication (rule-out)</t>
  </si>
  <si>
    <t>Major Depressive Disorder (current episode, with anxious distress), Generalized Anxiety Disorder, Adjustment Disorder with depressed mood (or with mixed anxiety and depressed mood), Persistent Depressive Disorder (dysthymia), Alcohol Use—risky drinking pattern versus Alcohol Use Disorder (mild)</t>
  </si>
  <si>
    <t>Substance/Medication-Induced Bipolar and Related Disorder (antidepressant-associated), Bipolar I Disorder, current manic episode, Caffeine-Induced Mood Disorder (with manic features), Major Depressive Disorder (recurrent, with antidepressant-associated mood switch), Substance Use Disorder</t>
  </si>
  <si>
    <t>Major Depressive Disorder (single episode, without psychotic features), Adjustment Disorder with depressed mood (secondary to chronic pain), Depressive Disorder due to another medical condition (rule out), Insomnia Disorder (comorbid), Other specified/unspecified depressive disorder</t>
  </si>
  <si>
    <t>Major Depressive Disorder (peripartum onset (postpartum)), Generalized Anxiety Disorder with peripartum onset (postpartum anxiety), Postpartum Obsessive-Compulsive Disorder, Panic Disorder (peripartum onset), Adjustment Disorder with depressed and anxious mood</t>
  </si>
  <si>
    <t>Schizophreniform disorder, Schizophrenia, Substance/medication-induced psychotic disorder (less likely based on history), Psychotic disorder due to another medical condition (rule out), Delusional disorder, persecutory type (less likely), Major depressive disorder with psychotic features (less likely)</t>
  </si>
  <si>
    <t>Bipolar I disorder (current episode manic with psychotic features), Brief Psychotic Disorder, Schizophreniform disorder / First‑episode psychosis (unspecified), Delusional Disorder (Persecutory Type), Substance/Medication‑Induced Psychotic Disorder, Psychotic Disorder due to Another Medical Condition</t>
  </si>
  <si>
    <t>Delusional Disorder (Persecutory Type), Schizophrenia Spectrum Disorder (first-episode psychosis), Substance/Medication-Induced Psychotic Disorder, Psychotic Disorder Due to Another Medical Condition, Paranoid Personality Disorder (less likely)</t>
  </si>
  <si>
    <t>Somatic Symptom Disorder (with predominant pain), Major Depressive Disorder vs Persistent Depressive Disorder, Generalized Anxiety Disorder, Posttraumatic Stress Disorder (rule out), Opioid-Related Disorder (rule out Opioid Use Disorder vs physiological dependence in context of long-term prescribed therapy), Tobacco Use Disorder, Illness Anxiety Disorder (less likely than Somatic Symptom Disorder)</t>
  </si>
  <si>
    <t>Separation Anxiety Disorder (childhood onset), Adjustment Disorder with Anxiety, Panic attacks (situational) in the context of separation-related anxiety, Generalized Anxiety Disorder (less likely), Other Specified Anxiety Disorder (childhood)</t>
  </si>
  <si>
    <t>Alcohol Use Disorder (moderate to severe), Major Depressive Disorder (current episode), Alcohol-Induced Depressive Disorder, Adjustment Disorder with depressed mood, Alcohol Withdrawal (mild, episodic when cutting down), Rule out medical conditions contributing to mood/somatic symptoms (non-DSM for psychiatric diagnosis but relevant comorbidity)</t>
  </si>
  <si>
    <t>Suicidal Behavior (proposed DSM-5 condition) versus Suicide Attempt with ambivalent/impulsive intent, Adjustment Disorder (unspecified or with disturbance of conduct), Alcohol Intoxication (contributing factor) or Other Alcohol-Related Issues, Unspecified Depressive Disorder (less likely based on current data), Personality-related vulnerabilities (e.g., traits associated with emotion dysregulation)</t>
  </si>
  <si>
    <t>Depression, Panic disorder, Other anxiety disorders, Substance misuse, Physical illness</t>
  </si>
  <si>
    <t>social phobia, panic disorder, co-morbid depression, alcohol misuse, endocrine problems</t>
  </si>
  <si>
    <t>OCD</t>
  </si>
  <si>
    <t xml:space="preserve">Mixed anxiety and depression, Adjustment disorder with depressed mood or with mixed anxiety and/or depression, Depression, GAD, </t>
  </si>
  <si>
    <t>Metabolic syndrome</t>
  </si>
  <si>
    <t>Depression</t>
  </si>
  <si>
    <t>somatization disorder, Depressive disorders, Anxiety disorders, Hypochondriacal disorder, factitious disorder/Munchausen syndrome</t>
  </si>
  <si>
    <t>Anxiety disorders</t>
  </si>
  <si>
    <t>alcohol dependence syndrome</t>
  </si>
  <si>
    <t>coping ability under adversity</t>
  </si>
  <si>
    <t>Total Cases</t>
  </si>
  <si>
    <t>Correct</t>
  </si>
  <si>
    <t>Lenient Accuracy</t>
  </si>
  <si>
    <t>Seizure, Cheese Reaction, neuroleptic malignant syndrome, panic attack</t>
  </si>
  <si>
    <t>Autism spectrum disorder, OCD</t>
  </si>
  <si>
    <t>early Alzheimer disease</t>
  </si>
  <si>
    <t>akathisia</t>
  </si>
  <si>
    <t>ADHD, OCD, depressive disorder, complex partial seizure</t>
  </si>
  <si>
    <t>autism spectrum disorders, pervasive developmental disorders, neurodegenerative disorder</t>
  </si>
  <si>
    <t>sexual abuse</t>
  </si>
  <si>
    <t>Factitious (Munchausen) Disorder by Proxy</t>
  </si>
  <si>
    <t>Gender identity dysphoria</t>
  </si>
  <si>
    <t>Adjustment disorder</t>
  </si>
  <si>
    <t>Spider Phobia</t>
  </si>
  <si>
    <t>complex partial seizures of temporal lobe epilepsy (TLE), absence seizures, Frontal lobe complex partial seizures, Panic attacks, Occipital lobe epilepsy</t>
  </si>
  <si>
    <t>emotionally  unstable personality disorder (EUPD), acute intoxication (alcohol/drugs), depression,</t>
  </si>
  <si>
    <t>alcohol dependence syndrome, dissocial or paranoid personality disorder, Asperger syndrome</t>
  </si>
  <si>
    <t>Acute confusional states (Delirium tremens), Wernicke encephalopathy, Alcoholic hallucinosis</t>
  </si>
  <si>
    <t>PTSD, Acute stress reaction, Adjustment disorders, Dissociative disorders, Substance abuse, Conversion disorders, Organic causes</t>
  </si>
  <si>
    <t>Wernicke encephalopathy</t>
  </si>
  <si>
    <t>somatization disorder, Malingering</t>
  </si>
  <si>
    <t>depression</t>
  </si>
  <si>
    <t>depression, schizophrenia, substance misuse, autism spectrum disorder, possible organic causes</t>
  </si>
  <si>
    <t>anticholinergic syndrome, bipolar disorder or cyclothymic disorder</t>
  </si>
  <si>
    <t xml:space="preserve">dissocial personality disorder </t>
  </si>
  <si>
    <t>Huntington disease</t>
  </si>
  <si>
    <t>body dysmorphic disorder</t>
  </si>
  <si>
    <t>organic personality disorder, Alzheimer’s dementia, Pick disease, Manic episode, Mixed affective disorder</t>
  </si>
  <si>
    <t>variant Creutzfeldt–Jakob disease (vCJD)</t>
  </si>
  <si>
    <t>bulimia</t>
  </si>
  <si>
    <t>neuroleptic malignant syndrome, meningitis, encephalitis, and septicaemia with or without concurrent extrapyramidal rigidity</t>
  </si>
  <si>
    <t>passivity phenomena</t>
  </si>
  <si>
    <t>complex partial epilepsy, psychoactive drug use, migraine, early psychosis, severe sleep deprivation, severe stress, space-occupying lesion or feigned illness</t>
  </si>
  <si>
    <t>conversion disorder</t>
  </si>
  <si>
    <t>depression, infectious diseases, chronic fatigue syndrome</t>
  </si>
  <si>
    <t>performance anxiety</t>
  </si>
  <si>
    <t>Anorgasmia</t>
  </si>
  <si>
    <t>dependence syndrome (opiates), heroin withdrwal</t>
  </si>
  <si>
    <t>Exhibitionism</t>
  </si>
  <si>
    <t>Acute manic or psychotic episode, organic disorder, durg-induced episode</t>
  </si>
  <si>
    <t>schizophrenia, substance-induced psychosis and depression with psychosis</t>
  </si>
  <si>
    <t>postnatal depression, Post-partum blues, Post-partum psychosis</t>
  </si>
  <si>
    <t>Delusional disorder, Schizophrenia, Hypomania, Organic disorders, Schizoid personality disorder, Schizotypal personality disorder, Autism spectrum disorder</t>
  </si>
  <si>
    <t>antisocial personality disorder</t>
  </si>
  <si>
    <t>Treatment resistant depression</t>
  </si>
  <si>
    <t>treatment-resistant schizophrenia</t>
  </si>
  <si>
    <t>Hypothyroidism</t>
  </si>
  <si>
    <t>psychotic depression</t>
  </si>
  <si>
    <t>Hypochondriacal disorder,  adjustment disorder</t>
  </si>
  <si>
    <t>Alzheimer dementia</t>
  </si>
  <si>
    <t>vascular dementia</t>
  </si>
  <si>
    <t>delirium</t>
  </si>
  <si>
    <t>dementia with Lewy bodies , Alzheimer dementia, Vascular dementia, Psychotic disorder, Depression</t>
  </si>
  <si>
    <t>Medication Side Effect</t>
  </si>
  <si>
    <t>depression with psychosis</t>
  </si>
  <si>
    <t>Dementia, Depression, Mania, Iatrogenic</t>
  </si>
  <si>
    <t>Capgras syndrome</t>
  </si>
  <si>
    <t>lithium toxicity</t>
  </si>
  <si>
    <t>Asperger syndrome, depression, generalized anxiety, separation anxiety or social anxiety disorder of childhood</t>
  </si>
  <si>
    <t>conduct disorder, oppositional defiant disorder, ADHD, anxiety, depression, social phobia, substance misuse, learning disability</t>
  </si>
  <si>
    <t>anorexia nervosa, organic conditions, depression OCD, Phobia of food</t>
  </si>
  <si>
    <t>moderate to severe depression</t>
  </si>
  <si>
    <t>depression with psychotic features, bipolar disorder, organic psychosis, schizophrenia and substance misuse</t>
  </si>
  <si>
    <t xml:space="preserve">drug-induced psychosis, Panic disorder, schizophrenia </t>
  </si>
  <si>
    <t>separation anxiety disorder</t>
  </si>
  <si>
    <t>constipation and anal fissure</t>
  </si>
  <si>
    <t>elective/selective mutism, Autism spectrum disorders</t>
  </si>
  <si>
    <t xml:space="preserve"> Transient tic disorder, OCD, PANDAS (paediatric autoimmune neuro-psychiatric disorders associated with 
Streptococcus)</t>
  </si>
  <si>
    <t>Pervasive refusal syndrome</t>
  </si>
  <si>
    <t>ADHD, Attachment disorder, abuse and neglect, adjustment disorder, global learning disability, autism spectrum disorder</t>
  </si>
  <si>
    <t>Specific Phobia, Animal Type (spiders/arachnids), Panic Disorder, OCD, PTSD, Social Anxiety Disorder or Agoraphobia</t>
  </si>
  <si>
    <t>Focal onset impaired awareness seizures (temporal lobe features), Functional Neurological Symptom Disorder (psychogenic nonepileptic seizures), Panic attacks/ Panic Disorder, Migraine with aura or related migraine phenomenon, Depersonalization/Derealization Disorder</t>
  </si>
  <si>
    <t>Major Depressive Disorder, Persistent Depressive Disorder (Dysthymia), Substance Use Disorder, Borderline Personality Disorder, Substance/Medication-Induced Depressive Disorder</t>
  </si>
  <si>
    <t>PTSD, Adjustment Disorder with mixed anxiety and depressed mood, Major Depressive Disorder, Panic Attacks, Partner Relational Problem</t>
  </si>
  <si>
    <t>PTSD, Major Depressive Disorder, Alcohol Use Disorder, Alcohol Withdrawl, Trauma- or Stressor-Related Disorder due to possible Traumatic Brain Injury, Insomnia</t>
  </si>
  <si>
    <t>Alcohol Use Disorder, Delirium, Unspecified Neurocognitive Disorder due to another medical condition, Other specified alcohol-related disorder</t>
  </si>
  <si>
    <t>Delirium, Substance/medication-induced delirium, Unspecified neurocognitive disorder due to another medical condition</t>
  </si>
  <si>
    <t>Major Depressive Disorder, Persistent Complex Bereavement Disorder, Trauma- and Stressor-Related Disorder, Adjustment Disorder with depressed mood, Alcohol Use Disorder</t>
  </si>
  <si>
    <t>Major Depressive Disorder, Schizophrenia Spectrum Disorder with prominent negative symptoms, Other Specified/Unspecified Depressive Disorder, Adjustment Disorder with Depressed Mood, Depressive disorder due to another medical condition</t>
  </si>
  <si>
    <t>Bipolar II Disorder, Major Depressive Disorder, Cyclothymic Disorder, Anxiety Disorder, Adjustment Disorder with depressed mood</t>
  </si>
  <si>
    <t>Major Depressive Disorder, Persistent Depressive Disorder (dysthymia), Mild Neurocognitive Disorder, Depressive disorder, Adjustment Disorder with depressed mood, Alcohol-related issues</t>
  </si>
  <si>
    <t>Body Dysmorphic Disorder, Major Depressive Disorder, Social Anxiety Disorder, Delusional Disorder, OCD</t>
  </si>
  <si>
    <t>Major or Mild Neurocognitive Disorder due to Frontotemporal Lobar Degeneration, Personality Change Due to Another Medical Condition, Other Specified Depressive Disorder, Personality Disorder, Bipolar II disorder/hypomania, Tobacco Use Disorder</t>
  </si>
  <si>
    <t>Antipsychotic-induced movement disorder, Antipsychotic-induced parkinsonism, Tardive dyskinesia, SSRI-associated myoclonus, Functional neurological symptom disorder, Neurological movement disorder</t>
  </si>
  <si>
    <t>Bulimia nervosa, Binge-eating disorder, Anorexia nervosa, binge-eating/purging type, Social anxiety disorder</t>
  </si>
  <si>
    <t>Schizophrenia, current exacerbation, Schizoaffective disorder, depressive/bipolar type, Delusional disorder, persecutory type, Psychotic disorder due to another medical condition or substance/medication</t>
  </si>
  <si>
    <t>Schizophrenia, Cannabis-induced psychotic disorder, Schizoaffective disorder, Delusional disorder, persecutory type, Psychotic disorder due to another medical condition, Brief psychotic disorder/schizophreniform disorder</t>
  </si>
  <si>
    <t>Migraine with aura, Alice in Wonderland syndrome (AIWS) secondary to migraine, Focal aware seizures (temporal/occipital), Depersonalization/derealization episodes, Other secondary headache disorders (e.g., structural/vascular, infection)</t>
  </si>
  <si>
    <t>Functional Neurological Symptom Disorder (Conversion Disorder), Adjustment Disorder with anxiety, Somatic Symptom Disorder, Other Medical Condition—neurological, Factitious Disorder/Malingering</t>
  </si>
  <si>
    <t>Major depressive disorder, Depressive disorder due to another medical condition, Adjustment disorder with depressed mood, Hypersomnolence disorder, Unspecified depressive disorder</t>
  </si>
  <si>
    <t>Erectile Disorder, Premature (Early) Ejaculation, Substance/Medication-Induced Sexual Dysfunction, Sexual Dysfunction due to Another Medical Condition, Other Specified Anxiety Disorder (performance-only, sexual context)</t>
  </si>
  <si>
    <t>Genito-Pelvic Pain/Penetration Disorder, Female Sexual Interest/Arousal Disorder, Specific Phobia (situational, penetration-related), Genitourinary medical conditions, Trauma- and stressor-related symptoms</t>
  </si>
  <si>
    <t>Opioid Withdrawal (Heroin), Opioid Use Disorder, Severe, Tobacco Use Disorder, Substance/Medication-Induced Depressive Disorder, Substance-Induced Sleep Disorder (insomnia type)</t>
  </si>
  <si>
    <t>Exhibitionistic Disorder, Other Specified Paraphilic Disorder, Obsessive-Compulsive and Related Disorders, Bipolar spectrum with disinhibition, Substance/medication-induced disinhibition, Antisocial Personality Disorder</t>
  </si>
  <si>
    <t>Delusional Disorder, Schizophreniform Disorder or Schizophrenia Spectrum Disorder, Brief Psychotic Disorder, Bipolar I Disorder, Current Manic Episode with Psychotic Features, Substance/Medication-Induced Psychotic Disorder</t>
  </si>
  <si>
    <t>Schizophreniform disorder vs. Schizophrenia, Substance/Medication-Induced Psychotic Disorder, Psychotic Disorder Due to Another Medical Condition, Schizoaffective Disorder (depressive type), Delusional Disorder</t>
  </si>
  <si>
    <t>postpartum depression, OCD, GAD, Adjustment Disorder with depressed and anxious mood (postpartum), Postpartum Psychosis</t>
  </si>
  <si>
    <t>Delusional Disorder, Jealous Type (Othello syndrome), Alcohol Use Disorder, moderate to severe, Major Depressive Disorder, Substance/Medication-Induced Psychotic Disorder, OCD</t>
  </si>
  <si>
    <t>Othello Syndrome</t>
  </si>
  <si>
    <t>Delusional Disorder, Erotomanic Type, Other Specified Schizophrenia Spectrum and Other Psychotic Disorder, Adjustment Disorder with disturbance of emotions and conduct, Bipolar I Disorder, current manic episode with psychotic features, OCD</t>
  </si>
  <si>
    <t>Antisocial Personality Disorder, Intermittent Explosive Disorder, Bipolar II Disorder, Trauma‑ and Stressor‑Related Disorder, Substance Use Disorders, Possible Neurocognitive/Behavioral Effects of Repetitive Head Trauma</t>
  </si>
  <si>
    <t>Persistent Depressive Disorder (Dysthymia), Major Depressive Disorder, chronic, Obstructive Sleep Apnea, Insomnia Disorder (comorbid/secondary), Depressive Disorder Due to Another Medical Condition (rule out)</t>
  </si>
  <si>
    <t>Schizophrenia spectrum disorder, Schizophreniform disorder, Delusional disorder, Brief psychotic disorder, Major depressive disorder with psychotic features, Substance/medication-induced psychotic disorder, Psychotic disorder due to another medical condition</t>
  </si>
  <si>
    <t>Major Depressive Disorder, Other Specified Depressive Disorder, Adjustment Disorder with Depressed Mood, Depressive Disorder Due to Another Medical Condition, Restless Legs Syndrome, Unspecified Sleep-Wake Disorder</t>
  </si>
  <si>
    <t>Major depressive disorder, single episode, severe with psychotic features, Brief psychotic disorder (with marked stressor), Schizophreniform disorder, Psychotic disorder due to another medical condition, Substance/medication-induced psychotic disorder</t>
  </si>
  <si>
    <t>Illness Anxiety Disorder vs. Somatic Symptom Disorder, Adjustment Disorder with mixed anxiety and depressed mood, Major Depressive Episode, GAD, Panic attcks, Bereavement/acute grief reaction, Anxiety disorder due to another medical condition</t>
  </si>
  <si>
    <t xml:space="preserve">Major Neurocognitive Disorder due to Alzheimer’s disease, Mild Neurocognitive Disorder (possible prodromal Alzheimer’s disease), Primary Progressive Aphasia, Vascular Neurocognitive Disorder, Lewy Body Disease spectrum, Normal aging/Subjective cognitive decline, Neurocognitive disorder </t>
  </si>
  <si>
    <t>Major or Mild Vascular Neurocognitive Disorder, Major or Mild Neurocognitive Disorder, Delirium, Neurocognitive Disorder due to Alzheimer’s Disease, Tobacco Use Disorder</t>
  </si>
  <si>
    <t>Delirium, Psychotic disorder, Major neurocognitive disorder with psychotic features, Substance/medication-induced psychotic disorder, Charles Bonnet syndrome (visual release hallucinosis)</t>
  </si>
  <si>
    <t>Neuroleptic-Induced Acute Dystonia, Other Medication-Induced Movement Disorder, Primary Cervical Dystonia,  Neuroleptic Malignant Syndrome</t>
  </si>
  <si>
    <t>Major depressive disorder, current episode severe with psychotic features, Depressive disorder due to another medical condition, Psychotic disorder due to another medical condition, Schizoaffective disorder, depressive type, Neurocognitive disorder (major or mild) with psychotic features</t>
  </si>
  <si>
    <t>Substance/Medication-Induced Psychosis,  Substance/Medication-Induced Bipolar and Related Disorder with psychotic features, Delusional Disorder, Persecutory Type, Psychotic Disorder Due to Another Medical Condition, Delirium, Major Neurocognitive Disorder with Behavioral Disturbance (psychosis)</t>
  </si>
  <si>
    <t>Delirium, Neurocognitive disorder, Substance/medication-induced delirium, Psychotic disorder due to another medical condition, Adjustment disorder with anxiety/agitation</t>
  </si>
  <si>
    <t>Major Depressive Disorder, single episode, late onset, Depressive Disorder Due to Another Medical Condition (Parkinson’s disease), Mild Neurocognitive Disorder due to Parkinson’s Disease, Parkinson’s Disease Psychosis, Adjustment Disorder with Depressed Mood</t>
  </si>
  <si>
    <t>Major Depressive Disorder, Adjustment Disorder with depressed mood, GAD, Depressive Disorder, Mild Neurocognitive Disorder</t>
  </si>
  <si>
    <t xml:space="preserve">Psychotic disorder, Brief psychotic disorder, Delirium, Other specified schizophrenia spectrum and other psychotic disorder (delusional misidentification syndrome/Capgras), Major neurocognitive disorder with psychotic features (prodromal/early), Major depressive disorder with psychotic features, Very late-onset schizophrenia-like psychosis </t>
  </si>
  <si>
    <t>Medication-Induced Postural Tremor (lithium-associated), Bipolar I Disorder, current episode in full remission, Anxiety-related exacerbation of physiologic tremor, Substance/Medication-Induced Movement Disorder</t>
  </si>
  <si>
    <t>ADHD, Oppositional Defiant Disorder, Specific Learning Disorder, Anxiety Disorder</t>
  </si>
  <si>
    <t>Autism Spectrum Disorder, Social (Pragmatic) Communication Disorder, OCD, Social Anxiety Disorder, ADHD</t>
  </si>
  <si>
    <t>Conduct Disorder, adolescent-onset, Oppositional Defiant Disorder, ADHD, Bipolar spectrum disorder (hypomanic/manic episodes), Nicotine Use Disorder, Trauma- and Stressor-Related Disorder, Insomnia</t>
  </si>
  <si>
    <t>Avoidant/Restrictive Food Intake Disorder (ARFID), Adjustment Disorder (with anxiety/stress)</t>
  </si>
  <si>
    <t>Acute Stress Disorder, Adjustment Disorder, Unspecified Trauma- and Stressor-Related Disorder, Somatic Symptom Disorder</t>
  </si>
  <si>
    <t>Major Depressive Disorder, GAD, Adjustment Disorder with Depressed Mood, Other Specified/Unspecified Depressive Disorder, Feeding/Eating Disorder</t>
  </si>
  <si>
    <t>Major Depressive Disorder with psychotic features, Schizophrenia spectrum, Panic Disorder, Adjustment Disorder with depressed mood and anxiety, GAD, Other Specified Feeding or Eating Disorder vs. depression-related appetite loss</t>
  </si>
  <si>
    <t>Recurrent Isolated Sleep Paralysis with associated hypnopompic hallucinations, Attenuated Psychosis Syndrome vs Early Schizophrenia-Spectrum Disorder, Panic Attacks, Major Depressive Episode, Cannabis Use Disorder and Substance-Induced Exacerbation of Psychotic/Anxiety Symptoms, Social Anxiety Disorder</t>
  </si>
  <si>
    <t>Separation Anxiety Disorder, Adjustment Disorder with Anxiety, GAD, Specific Phobia, Trauma- and Stressor-Related Disorder</t>
  </si>
  <si>
    <t>Enuresis, nocturnal, Encopresis, with constipation and overflow incontinence (retentive type), Specific Learning Disorder (possible, reading), Adjustment-related symptoms, Oppositional Defiant Disorder , ADHD&lt; Medical contributors to elimination symptoms</t>
  </si>
  <si>
    <t>Selective Mutism, Social Anxiety Disorder (Social Phobia), Autism Spectrum Disorder, Communication Disorder, GAD</t>
  </si>
  <si>
    <t>Provisional Motor Tic Disorder, OCD, PANDAS, Tourette’s Disorder, Other Specified OCD</t>
  </si>
  <si>
    <t xml:space="preserve">Catatonia, Major depressive disorder, severe, with catatonic features, Functional Neurological Symptom Disorder (conversion disorder), with motor/speech symptoms, Catatonia due to another medical condition or delirium/encephalopathy, Schizophrenia spectrum or other psychotic disorder with catatonia </t>
  </si>
  <si>
    <t>ADHD, Disinhibited Social Engagement Disorder, Sleep-Related Breathing Disorder, Enuresis and Encopresis, Specific Learning Disorder, Autism Spectrum Disorder, Fetal Alcohol Spectrum Disorder, Oppositional Defiant Disorder</t>
  </si>
  <si>
    <t>Adjustment Disorder, Nightmare Disorder, Trauma- and Stressor-Related Disorder, Unspecified Depressive Disorder, Separation-Related Difficulties, ADHD</t>
  </si>
  <si>
    <t>Adjustment Disorder with Anxiety, Gender Dysphoria in Children, Social Anxiety Disorder, Specified Trauma- and Stressor-Related Disorder, Major Depressive Disorder, ADHD</t>
  </si>
  <si>
    <t>No Diagnosis due to insufficient data</t>
  </si>
  <si>
    <t>Child sexual abuse, Adjustment Disorder with anxiety, Other Specified Insomnia Disorder, Other Specified Anxiety Disorder, Trauma- and Stressor-Related symptoms, Depressive symptoms</t>
  </si>
  <si>
    <t>Autism Spectrum Disorder, Language Disorder, Global Developmental Delay / Intellectual Developmental Disorder, ADHD, Insomnia Disorder, Avoidant/Restrictive Food Intake Disorde</t>
  </si>
  <si>
    <t>Medication-Induced Acute Akathisia, Medication-Induced Movement Disorder, Restless Legs Syndrome, Schizophrenia Spectrum and Other Psychotic Disorder</t>
  </si>
  <si>
    <t>Medication-induced akathisia, Restless Legs Syndrome, Medication-induced anxiety/agitation, Psychomotor agitation secondary to mood episode (mania/mixed), Other extrapyramidal symptoms, Neuroleptic malignant syndrome/serotonin syndrome</t>
  </si>
  <si>
    <t>Neurogenic bowel due to cervical spinal cord pathology, Functional constipation with fecal impaction and overflow incontinence, Medication-induced diarrhea, Delirium due to another medical condition, Major depressive episode vs. adjustment disorder with depressed mood, Major neurocognitive disorder due to Alzheimer’s disease, Cauda equina/conus medullaris syndrome or other lower spinal lesion, Hypothyroidism, Infectious gastroenteritis or other GI pathology</t>
  </si>
  <si>
    <t>Autism Spectrum Disorder, Intellectual Developmental Disorder, Specific Learning Disorder, Tic Disorder, ADHD, Adjustment Disorder</t>
  </si>
  <si>
    <t>Delirium, Alcohol intoxication</t>
  </si>
  <si>
    <t>OCD, Adjustment Disorder, GAD, Obessive-Compulsive Personality Disorder</t>
  </si>
  <si>
    <t>Borderline Personality Disorder, Adjustment Disorder with mixed disturbance of emotions and conduct, Unspecified Depressive Disorder vs Major Depressive Disorder, Dependent Personality Disorder (traits), Alcohol Use</t>
  </si>
  <si>
    <t>ChatGPT</t>
  </si>
  <si>
    <t>DeepSeek</t>
  </si>
  <si>
    <t>ADHD, Adjustment Disorder with Mixed Disturbance of Emotions and Conduct, Other Specified or Unspecified Neurodevelopmental Disorder</t>
  </si>
  <si>
    <t>Generalized Anxiety Disorder (GAD), Unspecified Anxiety Disorder, Adjustment Disorder with Anxiety, Nicotine Use Disorder</t>
  </si>
  <si>
    <t>Social Anxiety Disorder (Social Phobia), Generalized Anxiety Disorder, Specific Phobia, Performance Only (if social anxiety is limited to public speaking)</t>
  </si>
  <si>
    <t>OCD, GAD, Illness Anxiety Disorder or Other Specified Obsessive-Compulsive and Related Disorder</t>
  </si>
  <si>
    <t>Panic Disorder, Agoraphobia, Illness Anxiety Disorder (Somatic Symptom Disorder considerations)</t>
  </si>
  <si>
    <t>GAD, Panic Disorder, Adjustment Disorder with Anxiety, Other Specified Anxiety Disorder</t>
  </si>
  <si>
    <t>Llama</t>
  </si>
  <si>
    <t>Schizophrenia Spectrum and Other Psychotic Disorders (e.g., Schizophrenia, Schizophreniform Disorder), Substance/Medication-Induced Psychotic Disorder, Other Specified Schizophrenia Spectrum and Other Psychotic Disorder</t>
  </si>
  <si>
    <t>Substance/Medication-Induced Depressive Disorder, Major Depressive Disorder, Persistent Depressive Disorder (Dysthymia), Opioid Use Disorder, Severe, Other Specified Trauma- and Stressor-Related Disorder (or PTSD)</t>
  </si>
  <si>
    <t>Bipolar I Disorder, Current Episode Depressive, Major Depressive Disorder, Recurrent, Adjustment Disorder with Depressed Mood</t>
  </si>
  <si>
    <t>Major Depressive Disorder, Single or Recurrent Episode, Moderate to Severe, Adjustment Disorder with Depressed Mood, Persistent Depressive Disorder (Dysthymia) with Major Depressive Episode, Uncomplicated Bereavement / Other Specified Trauma- and Stressor-Related Disorder</t>
  </si>
  <si>
    <t>Bipolar I Disorder, Current Episode Manic, Bipolar II Disorder, Current Episode Hypomanic, Substance/Medication-Induced Mood Disorder, Major Depressive Disorder</t>
  </si>
  <si>
    <t>Major Depressive Disorder, Adjustment Disorder with Depressed Mood, Depressive Disorder Due to Another Medical Condition</t>
  </si>
  <si>
    <t>Major Depressive Episode, With Peripartum Onset, GAD, OCD, Adjustment Disorder With Depressed Mood, Postpartum Psychosis</t>
  </si>
  <si>
    <t>Schizophrenia Spectrum Disorder (e.g., Schizophrenia), Delusional Disorder, Persecutory Type, Other Specified Schizophrenia Spectrum and Other Psychotic Disorder, Psychotic Disorder Due to Another Medical Condition</t>
  </si>
  <si>
    <t>Schizophrenia Spectrum Disorder (e.g., Schizophrenia, Schizophreniform Disorder)Schizophrenia Spectrum Disorder (e.g., Schizophrenia, Schizophreniform Disorder), Brief Psychotic Disorder, Delusional Disorder, Persecutory Type, Mood Disorder with Psychotic Features (e.g., Major Depressive Disorder or Bipolar Disorder with Psychotic Features)</t>
  </si>
  <si>
    <t>Schizophrenia Spectrum Disorder (e.g., Schizophrenia, Delusional Disorder, Persecutory Type), Other Specified Schizophrenia Spectrum and Other Psychotic Disorder, Psychotic Disorder Due to Another Medical Condition / Substance-Induced Psychotic Disorder, Major Depressive Disorder with Psychotic Features / Bipolar Disorder with Psychotic Features</t>
  </si>
  <si>
    <t>Persistent Depressive Disorder (Dysthymia), Somatic Symptom Disorder (With Predominant Pain), Opioid Use Disorder, GAD</t>
  </si>
  <si>
    <t>Separation Anxiety Disorder, GAD, Adjustment Disorder with Anxiety</t>
  </si>
  <si>
    <t>Major Depressive Disorder, Single or Recurrent Episode, Severe, Adjustment Disorder with Depressed Mood, Alcohol Use Disorder, Persistent Depressive Disorder (Dysthymia)</t>
  </si>
  <si>
    <t>Adjustment Disorder with Disturbance of Emotions and Conduct, Other Specified or Unspecified Trauma- and Stressor-Related Disorder, Rule Out Major Depressive Disorder, Single Episode, Historical Consideration: Past Non-Suicidal Self-Injury</t>
  </si>
  <si>
    <t>Specific Phobia (Animal Type - Spiders), Other Specified Anxiety Disorder (with insufficient symptoms to meet criteria for another disorder)</t>
  </si>
  <si>
    <t>Epilepsy (Focal Onset Impaired Awareness Seizures, possibly Temporal Lobe), Epilepsy (Focal Onset Impaired Awareness Seizures, possibly Temporal Lobe), Psychotic Disorder (to be considered based on auditory hallucination), Other Neurological Condition</t>
  </si>
  <si>
    <t>Major Depressive Disorder, Recurrent Episode, Persistent Depressive Disorder (Dysthymia) with Major Depressive Episodes, Borderline Personality Disorder Traits or Diagnosis, Substance Use Disorders (Alcohol, Cannabis, Cocaine)</t>
  </si>
  <si>
    <t>Adjustment Disorder with Mixed Anxiety and Depressed Mood, Major Depressive Disorder, Single Episode, Mild to Moderate, GAD, Other Specified Trauma- and Stressor-Related Disorder (Persistent Partner Conflict/Coercive Control)</t>
  </si>
  <si>
    <t>Substance/Medication-Induced Psychotic Disorder, Delirium (Due to Another Medical Condition), Schizophreniaform Disorder or Brief Psychotic Disorder, Psychotic Disorder Due to Another Medical Condition, Major Depressive or Bipolar Disorder with Psychotic Features</t>
  </si>
  <si>
    <t>PTSD, Major Depressive Disorder, Alcohol Use Disorder, Adjustment Disorder</t>
  </si>
  <si>
    <t>Substance/Medication-Induced Major or Mild Neurocognitive Disorder (Due to Alcohol), Other Specified Anxiety Disorder (Illness Anxiety Disorder), Unspecified Neurocognitive Disorder</t>
  </si>
  <si>
    <t>Substance/Medication-Induced Neurocognitive Disorder (Intoxication or Withdrawal) / Alcohol Withdrawal Syndrome, Other Specified Anxiety Disorder (Anxiety due to another medical condition), Vestibular System Disorder (to be ruled out medically), Unspecified Neurocognitive Disorder due to another medical condition (e.g., sequelae of past cancer/treatment)</t>
  </si>
  <si>
    <t>Major Depressive Disorder, Persistent Complex Bereavement Disorder (Prolonged Grief Disorder), Adjustment Disorder with Depressed Mood, PTSD</t>
  </si>
  <si>
    <t>Major Depressive Disorder, Persistent Depressive Disorder (Dysthymia), Adjustment Disorder with Depressed Mood, Schizophrenia Spectrum Disorder (Prodromal or Negative Symptom Predominant)</t>
  </si>
  <si>
    <t>Bipolar II Disorder, Major Depressive Disorder, Single or Recurrent Episode, with Mixed Features (Provisional), Borderline Personality Disorder (Traits to Consider),  Adjustment Disorder with Mixed Disturbance of Emotions and Conduct</t>
  </si>
  <si>
    <t>Borderline Personality Disorder, Major Depressive Disorder, Recurrent, Severe with Suicidal Behavior, Adjustment Disorder with Mixed Disturbance of Emotions and Conduct, Persistent Depressive Disorder (Dysthymia) with Recent Major Depressive Episode, Other Specified Personality Disorder with Borderline Features</t>
  </si>
  <si>
    <t>Persistent Depressive Disorder (Dysthymia), Major Depressive Disorder, Single or Recurrent Episode, with Irritable Mood, Adjustment Disorder with Mixed Disturbance of Emotions and Conduct, Other Specified Depressive Disorder</t>
  </si>
  <si>
    <t>Body Dysmorphic Disorder, Social Anxiety Disorder (Social Phobia), Major Depressive Disorder, Illness Anxiety Disorder, OCD</t>
  </si>
  <si>
    <t>Possible Personality Disorder (e.g., Narcissistic or Antisocial Traits), Possible Mild Neurocognitive Disorder or Organic Cause, Adjustment Disorder (with disturbance of conduct)</t>
  </si>
  <si>
    <t>Tardive Dyskinesia / Other Medication-Induced Movement Disorder, Conversion Disorder (Functional Neurological Symptom Disorder), Major Depressive Disorder, Anxiety Disorder Unspecified, Rule Out Neurological Condition</t>
  </si>
  <si>
    <t>Bulimia Nervosa (of low frequency and/or limited duration, or Non-Purging Type Specifier?), Binge-Eating Disorder (of low frequency and/or limited duration?), Other Specified Feeding or Eating Disorder (OSFED), Avoidant/Restrictive Food Intake Disorder (ARFID)</t>
  </si>
  <si>
    <t>Schizophrenia Spectrum Disorder (likely Schizophrenia, Acute Episode), Delusional Disorder, Persecutory Type, Psychotic Disorder Due to Another Medical Condition / Substance-Induced Psychotic Disorder, Brief Psychotic Disorder, Mood Disorder with Psychotic Features (e.g., Major Depressive Disorder or Bipolar Disorder)</t>
  </si>
  <si>
    <t>Schizophrenia, Schizophreniform Disorder, Substance/Medication-Induced Psychotic Disorder, Delusional Disorder, Major Depressive or Bipolar Disorder with Psychotic Features</t>
  </si>
  <si>
    <t>Migraine with Brainstem Aura (formerly Basilar-Type Migraine), Focal Epilepsy (e.g., Temporal Lobe or Parietal Lobe origin), Panic Attack, Depersonalization/Derealization Disorder</t>
  </si>
  <si>
    <t>Conversion Disorder (Functional Neurological Symptom Disorder), Somatic Symptom Disorder, Illness Anxiety Disorder, Other Specified or Unspecified Anxiety Disorder, Psychological Factors Affecting Other Medical Conditions</t>
  </si>
  <si>
    <t>Major Depressive Disorder, Persistent Depergent Disorder (Dysthymia), GAD, Somatic Symptom Disorder (with predominant fatigue), Illness Anxiety Disorder, Unspecified Depressive or Anxiety Disorder</t>
  </si>
  <si>
    <t>Male Hypoactive Sexual Desire Disorder Due to Psychological Factors, Other Specified Sexual Dysfunction (Performance Anxiety), Adjustment Disorder with Anxiety, GAD</t>
  </si>
  <si>
    <t>Genito-Pelvic Pain/Penetration Disorder, PTSD, Other Specified Sexual Dysfunction (with predominant anxiety), Social Anxiety Disorder (Social Phobia), Generalized, Other Specified Anxiety Disorder</t>
  </si>
  <si>
    <t>Major Depressive Disorder, Substance/Medication-Induced Depressive Disorder, Opioid Use Disorder, Severe, Persistent Depressive Disorder (Dysthymia), Rule Out Medical Causes (e.g., Infection, Chronic Fatigue)</t>
  </si>
  <si>
    <t>Acute Stress Disorder, Adjustment Disorder with Anxiety, Other Specified Trauma- and Stressor-Related Disorder, Unspecified Anxiety Disorder</t>
  </si>
  <si>
    <t>Schizophrenia Spectrum Disorder (e.g., Schizophrenia), Bipolar I Disorder, Current Episode Manic With Psychotic Features, Substance/Medication-Induced Psychotic Disorder, Delusional Disorder</t>
  </si>
  <si>
    <t>Schizophrenia Spectrum Disorder (e.g., Schizophrenia), Other Specified Schizophrenia Spectrum and Other Psychotic Disorder, Psychotic Disorder Due to Another Medical Condition / Substance-Induced Psychotic Disorder</t>
  </si>
  <si>
    <t>Major Depressive Episode, Severe, With Peripartum Onset, Postpartum Depression (as a specifier), Persistent Depressive Disorder (Dysthymia) with Major Depressive Episode</t>
  </si>
  <si>
    <t>Major Depressive Disorder, OCD, Alcohol Use Disorder, Adjustment Disorder with Depressed Mood</t>
  </si>
  <si>
    <t>Delusional Disorder, Erotomanic Type, Other Specified Psychotic Disorder, Obsessive Love (as a symptom/focus of clinical attention)</t>
  </si>
  <si>
    <t>Antisocial Personality Disorder, Paranoid Personality Disorder, Intermittent Explosive Disorder, Substance Use Disorders (in sustained remission in a controlled environment), Unspecified Anxiety Disorder (by history)</t>
  </si>
  <si>
    <t>Major Depressive Disorder, Recurrent, Moderate to Severe, Persistent Depressive Disorder (Dysthymia) with Major Depressive Episode, Somatic Symptom Disorder, Adjustment Disorder with Depressed Mood, Medical Condition-Related Mood Disorder</t>
  </si>
  <si>
    <t>Schizophrenia, Schizoaffective Disorder, Delusional Disorder, Persecutory Type, Substance/Medication-Induced Psychotic Disorder</t>
  </si>
  <si>
    <t>Major Depressive Disorder, Persistent Depressive Disorder (Dysthymia), Adjustment Disorder with Depressed Mood, Unspecified Depressive Disorder</t>
  </si>
  <si>
    <t>Schizophrenia Spectrum Disorder (e.g., Schizophrenia),  Major Depressive Disorder with Psychotic Features, Other Specified Schizophrenia Spectrum and Other Psychotic Disorder (Acute Psychotic Episode), Substance/Medication-Induced Psychotic Disorder</t>
  </si>
  <si>
    <t>Illness Anxiety Disorder, Panic Disorder, Adjustment Disorder with Anxiety, GAD</t>
  </si>
  <si>
    <t>Major Neurocognitive Disorder (Alzheimer's Disease type), Mild Neurocognitive Disorder</t>
  </si>
  <si>
    <t>Major or Mild Neurocognitive Disorder (possibly due to vascular or other medical etiology), Delusional Disorder (persecutory type), Depressive Disorder (with psychotic features, if delusions are mood-congruent), Anxiety Disorder (e.g., Generalized Anxiety or Adjustment Disorder with Anxiety), Other Specified or Unspecified Neurocognitive Disorder (with behavioral disturbance)</t>
  </si>
  <si>
    <t>Delirium (Due to Another Medical Condition, e.g., Infection), Major Neurocognitive Disorder (Dementia) with Behavioral Disturbance (e.g., hallucinations), Psychotic Disorder Due to Another Medical Condition, Depersonalization/Derealization Disorder</t>
  </si>
  <si>
    <t>Medication-Induced Acute Dystonia, Major Depressive Disorder, Neuroleptic-Induced Parkinsonism, Other Specified Schizophrenia Spectrum and Other Psychotic Disorder (Single Episode, with Hallucinations), Persistent Complex Bereavement Disorder (Provisional)</t>
  </si>
  <si>
    <t>Delusional Disorder, Persecutory Type, Psychotic Disorder Due to Another Medical Condition, Substance/Medication-Induced Psychotic Disorder, Major Neurocognitive Disorder (Dementia) With Behavioral Disturbance</t>
  </si>
  <si>
    <t>Major Depressive Disorder, Single or Recurrent Episode, Severe (without psychotic features), Persistent Depressive Disorder (Dysthymia) with Major Depressive Episode, Unspecified Depressive Disorder, Adjustment Disorder with Depressed Mood, Medical Condition-Induced Depressive Disorder</t>
  </si>
  <si>
    <t>Delirium, Psychotic Disorder Due to Another Medical Condition, Major Neurocognitive Disorder (Dementia) with Behavioral Disturbance</t>
  </si>
  <si>
    <t>Psychotic Disorder Due to Another Medical Condition (Parkinson's Disease), Major Depressive Disorder, Neurocognitive Disorder with Behavioral Disturbance (Major, due to Parkinson's disease)</t>
  </si>
  <si>
    <t>Major Depressive Disorder, Persistent Depressive Disorder (Dysthymia), Adjustment Disorder with Depressed Mood, GAD</t>
  </si>
  <si>
    <t>Delusional Disorder, Persecutory Type (with Capgras-like feature), Major Depressive Disorder, With Psychotic Features, Psychotic Disorder Due to Another Medical Condition, Unspecified Schizophrenia Spectrum and Other Psychotic Disorder</t>
  </si>
  <si>
    <t>Medication-Induced Tremor (lithium associated), Essential Tremor, Parkinsonism, Anxiety-Related Tremor, Underlying Medical Condition</t>
  </si>
  <si>
    <t>ADHD), Combined or Predominantly Hyperactive-Impulsive Presentation, Mild Neurocognitive Disorder Due to Traumatic Brain Injury, Adjustment Disorder, Specific Learning Disorder</t>
  </si>
  <si>
    <t>Autism Spectrum Disorder (ASD), OCD, Schizoid Personality Disorder (Traits)</t>
  </si>
  <si>
    <t>ADHD, conduct disorder, Cannabis Use Disorder, Adjustment Disorder with Disturbance of Conduct and/or Mixed Disturbance of Emotions and Conduct, Bipolar and Related Disorder (requiring further assessment)</t>
  </si>
  <si>
    <t>Adjustment Disorder, GAD, Major Depressive Disorder (Rule Out), Medical Condition (e.g., related to syncope)</t>
  </si>
  <si>
    <t>Acute Stress Disorder, Adjustment Disorder with Anxiety, PTSD,  Other Specified Trauma- and Stressor-Related Disorder</t>
  </si>
  <si>
    <t>Major Depressive Disorder, Single Episode, Severe with Mood-Congruent Psychotic Features, Other Specified Schizophrenia Spectrum and Other Psychotic Disorder (or prodromal phase), Adjustment Disorder with Depressed Mood, Persistent Depressive Disorder (Dysthymia) with Major Depressive Episode</t>
  </si>
  <si>
    <t>Psychotic Disorder (Provisional), Major Depressive Disorder, With Psychotic Features, Substance/Medication-Induced Psychotic Disorder, Panic Disorder, Social Anxiety Disorder (Severe)</t>
  </si>
  <si>
    <t>Separation Anxiety Disorder, GAD, Adjustment Disorder with Anxiety, PTSD</t>
  </si>
  <si>
    <t>Elimination Disorders (Encopresis, Enuresis),Adjustment Disorder, PTSD or Other Trauma/Stressor-Related Disorder, Disruptive Behavior with Dysregulated Emotion/Conduct Problems, Depressive Disorder, Non-rapid eye movement Sleep Arousal Disorder (Sleepwalking Type)</t>
  </si>
  <si>
    <t>Selective Mutism, Social Anxiety Disorder (Social Phobia), Other Specified Anxiety Disorder, Communication Disorder (e.g., Childhood-Onset Fluency Disorder [Stuttering])</t>
  </si>
  <si>
    <t>Tourette's Disorder (or Other Tic Disorder), OCD, Illness Anxiety Disorder / Somatic Symptom Disorder, Pediatric Acute-Onset Neuropsychiatric Syndrome (PANS) / Pediatric Autoimmune Neuropsychiatric Disorders Associated with Streptococcal Infections (PANDAS)</t>
  </si>
  <si>
    <t>Catatonia (specifier for another mental disorder, or due to another medical condition), Severe Depressive Episode with Catatonic Features, Schizophrenia or other Psychotic Disorder with Catatonic Features, Catatonic Disorder Due to Another Medical Condition</t>
  </si>
  <si>
    <t>ADHD, Reactive Attachment Disorder, Disinhibited Social Engagement Type, Other Specified Trauma and Stressor Related Disorder</t>
  </si>
  <si>
    <t>Oppositional Defiant Disorder (ODD), Adjustment Disorder with Mixed Disturbance of Emotions and Conduct, Separation Anxiety Disorder, Somatic Symptom Disorder, Other Specified or Unspecified Depressive or Anxiety Disorder</t>
  </si>
  <si>
    <t>Adjustment Disorder with Mixed Anxiety and Depressed Mood, Other Specified Anxiety Disorder (or Generalized Anxiety Disorder), Acute Stress Disorder, Parent-Child Relational Problem (V-Code)</t>
  </si>
  <si>
    <t>Urinary Tract Infection/Pyelonephritis, History of Seizure Disorder (e.g., Epilepsy, Febrile Seizures), Adjustment Disorder with Depressed Mood</t>
  </si>
  <si>
    <t>Adjustment Disorder with Mixed Anxiety and Depressed Mood, Other Specified Trauma- and Stressor-Related Disorder (Persistent Complex Bereavement Disorder - Probable), Generalized Anxiety Disorder (Provisional), Major Depressive Disorder, Single Episode, In Partial Remission (Past), Vulnerability Factors / Psychosocial Context</t>
  </si>
  <si>
    <t>Major Depressive Disorder (Single or Recurrent Episode, Severe, without psychotic features), Persistent Depressive Disorder (Dysthymia) with Major Depressive Episode, Adjustment Disorder with Depressed Mood, Unspecified Depressive Disorder</t>
  </si>
  <si>
    <t>Autism Spectrum Disorder, Social (Pragmatic) Communication Disorder, Global Developmental Delay / Intellectual Disability</t>
  </si>
  <si>
    <t>Medication-Induced Acute Akathisia (likely due to Haloperidol), Antipsychotic Withdrawal/Emergent Akathisia (related to Olanzapine discontinuation), Schizophrenia or Other Primary Psychotic Disorder, Neurodevelopmental Disorder (e.g., ADHD)</t>
  </si>
  <si>
    <t>Medication-Induced Acute Akathisia, Underlying Psychotic Disorder (in partial remission), GAD, Neurodevelopmental Disorder</t>
  </si>
  <si>
    <t>Major Depressive Disorder, GAD, Neurocognitive Disorder (possibly Delirium or Major Neurocognitive Disorder due to another medical condition), Adjustment Disorder with Depressed and Anxious Mood, Psychological Factors Affecting Other Medical Conditions (Fecal Incontinence)</t>
  </si>
  <si>
    <t>Autism Spectrum Disorder (ASD), OCD, Adjustment Disorder, Social Anxiety Disorder</t>
  </si>
  <si>
    <t>Substance/Medication-Induced Intoxication (Alcohol), Substance/Medication-Induced Headache (Alcohol), Major Depressive Disorder (Past Episode, in partial remission?), Possible Medication Discontinuation or Adverse Effect</t>
  </si>
  <si>
    <t>OCD, Adjustment Disorder with Mixed Anxiety and Depressed Mood, Neurocognitive Disorder due to Down Syndrome (with behavioral disturbance)</t>
  </si>
  <si>
    <t>ADHD, Adjustment Disorder, Other Specified Attention Deficit Hyperactivity Disorder</t>
  </si>
  <si>
    <t>GAD, Adjustment Disorder with Anxiety, Major Depressive Disorder</t>
  </si>
  <si>
    <t>Social Anxiety Disorder, Specific Phobia, Performance-only type of Social Anxiety Disorder</t>
  </si>
  <si>
    <t>OCD, Anxiety Disorder, Adjustment Disorder</t>
  </si>
  <si>
    <t>Panic Disorder, Anxiety Disorder Due to Another Medical Condition, Specific Phobia</t>
  </si>
  <si>
    <t>GAD, Adjustment Disorder with Anxiety, Anxiety Disorder Due to Another Medical Condition</t>
  </si>
  <si>
    <t>Schizophrenia or Other Psychotic Disorder, Substance-Induced Psychotic Disorder (though less likely given the information), Body Dysmorphic Disorder or Eating Disorder, Major Depressive Disorder with Psychotic Features (possible, but not directly supported by the information provided)</t>
  </si>
  <si>
    <t>Opioid Use Disorder, Major Depressive Disorder, PTSD</t>
  </si>
  <si>
    <t>Major Depressive Disorder, Bipolar Disorder, Adjustment Disorder with Depressed Mood, Persistent Depressive Disorder (Dysthymia)</t>
  </si>
  <si>
    <t>Major Depressive Disorder, Persistent Depressive Disorder, Adjustment Disorder, PTSD</t>
  </si>
  <si>
    <t>Bipolar Disorder (Manic Episode), Major Depressive Disorder with Mixed Features, Substance-Induced Mood Disorder</t>
  </si>
  <si>
    <t>Major Depressive Disorder, Adjustment Disorder with Depressed Mood, Persistent Depressive Disorder (Dysthymia), Somatic Symptom Disorder, Other Specified Depressive Disorder</t>
  </si>
  <si>
    <t>Postpartum Depression, Adjustment Disorder with Depressed Mood, Anxiety Disorder</t>
  </si>
  <si>
    <t>Schizophrenia, Delusional Disorder, Schizophreniform Disorder, Psychotic Disorder Due to Another Medical Condition</t>
  </si>
  <si>
    <t>Schizophrenia, Delusional Disorder, Brief Psychotic Disorder, Substance-Induced Psychotic Disorder</t>
  </si>
  <si>
    <t>Delusional Disorder (Persecutory Type), Schizophrenia, Paranoid Personality Disorder</t>
  </si>
  <si>
    <t>Major Depressive Disorder, Somatic Symptom Disorder, Anxiety Disorder</t>
  </si>
  <si>
    <t>Separation Anxiety Disorder, GAD, Anxiety Disorder Due to Another Medical Condition, Specific Phobia (Situational Type)</t>
  </si>
  <si>
    <t>Major Depressive Disorder, Alcohol Use Disorder, Adjustment Disorder, Somatic Symptom Disorder</t>
  </si>
  <si>
    <t>Major Depressive Disorder, Adjustment Disorder, Borderline Personality Disorder, Acute Stress Disorder or Post-Traumatic Stress Disorder</t>
  </si>
  <si>
    <t>Specific Phobia (Arachnophobia), GAD, Adjustment Disorder</t>
  </si>
  <si>
    <t>Dissociative Identity Disorder (DID), Dissociative Amnesia, Psychotic Disorder, Complex Partial Seizures or Temporal Lobe Epilepsy, Other Specified Dissociative Disorder</t>
  </si>
  <si>
    <t>Major Depressive Disorder, Borderline Personality Disorder, Substance Use Disorder, PTSD</t>
  </si>
  <si>
    <t>Adjustment Disorder with Anxiety, Intimate Partner Violence (IPV), Anxiety Disorder, Depressive Disorder</t>
  </si>
  <si>
    <t>Alcohol Withdrawal Delirium (Delirium Tremens), Substance-Induced Psychotic Disorder, Delirium, Anxiety Disorder, Psychotic Disorder</t>
  </si>
  <si>
    <t>PTSD, Psychotic Disorder, Alcohol Use Disorder, Borderline Personality Disorder</t>
  </si>
  <si>
    <t>Alcoholic cerebellar degeneration, Wernicke's encephalopathy, Substance-induced disorder (due to alcohol)</t>
  </si>
  <si>
    <t>Panic Disorder, Anxiety Disorder, Somatic Symptom Disorder, Conversion Disorder (Functional Neurological Symptom Disorder), Medical Condition</t>
  </si>
  <si>
    <t>Major Depressive Disorder, PTSD, Prolonged Grief Disorder, Alcohol Use Disorder</t>
  </si>
  <si>
    <t>Major Depressive Disorder, Adjustment Disorder, Schizoid Personality Disorder, Persistent Depressive Disorder (Dysthymia)</t>
  </si>
  <si>
    <t>Major Depressive Disorder, Adjustment Disorder, Bipolar Disorder</t>
  </si>
  <si>
    <t>Major Depressive Disorder, Borderline Personality Disorder, Adjustment Disorder</t>
  </si>
  <si>
    <t>Delusional Disorder, Major Depressive Disorder with Psychotic Features or Anxiety Disorder, Dementia</t>
  </si>
  <si>
    <t>Body Dysmorphic Disorder (BDD), Social Anxiety Disorder, Specific Phobia or Avoidance Behavior related to a perceived physical flaw</t>
  </si>
  <si>
    <t>Adjustment Disorder, Personality Disorder (possibly Narcissistic Personality Disorder), Relational Problem</t>
  </si>
  <si>
    <t>Tourette's Syndrome or Tic Disorder, Neuroleptic-Induced Movement Disorder, Huntington's Disease, Schizophrenia or Psychotic Disorder, Other Neurodegenerative or Neurological Conditions</t>
  </si>
  <si>
    <t>Adjustment Disorder, Body Dysmorphic Disorder, Anxiety Disorder, Somatization or Somatic Symptom Disorder</t>
  </si>
  <si>
    <t>Schizophrenia or Other Psychotic Disorder, Delusional Disorder, Substance-Induced Psychotic Disorder, Psychotic Disorder Due to Another Medical Condition</t>
  </si>
  <si>
    <t>Schizophrenia, Delusional Disorder, Substance-Induced Psychotic Disorder</t>
  </si>
  <si>
    <t>Depersonalization-Derealization Disorder, Migraine with Aura, Anxiety Disorders, Other Specified Neurodevelopmental Disorder/Other Specified Dissociative Disorder</t>
  </si>
  <si>
    <t>Conversion Disorder (Functional Neurological Symptom Disorder), Anxiety Disorder, Adjustment Disorder</t>
  </si>
  <si>
    <t>Major Depressive Disorder, Post-Viral Fatigue Syndrome (e.g., Chronic Fatigue Syndrome/Myalgic Encephalomyelitis), Adjustment Disorder, Anxiety Disorder</t>
  </si>
  <si>
    <t>Erectile Disorder, Premature (Early) Ejaculation, Other Specified Sexual Dysfunction, Performance Anxiety, Male Hypoactive Sexual Desire Disorder</t>
  </si>
  <si>
    <t>PTSD, Specific Phobia or Sexual Dysfunction, Adjustment Disorder, Anxiety Disorder</t>
  </si>
  <si>
    <t>Opioid Withdrawal, Adjustment Disorder, Substance Use Disorder (Opioid Use Disorder)</t>
  </si>
  <si>
    <t>Intermittent Explosive Disorder, Impulse-Control Disorder, Adjustment Disorder with Disturbance of Conduct</t>
  </si>
  <si>
    <t>Schizophrenia, Bipolar Disorder (Manic Episode),Delusional Disorder</t>
  </si>
  <si>
    <t>Schizophrenia, Other Specified Schizophrenia Spectrum and Other Psychotic Disorder, Psychotic Disorder Due to Another Medical Condition</t>
  </si>
  <si>
    <t>Postpartum Depression, Postpartum Anxiety or Mixed Anxiety and Depressive Disorder, OCD, Adjustment Disorder with Depressed Mood or Mixed Anxiety and Depressed Mood</t>
  </si>
  <si>
    <t>Adjustment Disorder with Depressed Mood, Major Depressive Disorder, Alcohol Use Disorder</t>
  </si>
  <si>
    <t>Delusional Disorder (Erotomanic Type), Obsessive Love Disorder, Stalking Behavior associated with another psychiatric condition, Antisocial Personality Disorder or Borderline Personality Disorder traits, Major Depressive Disorder or Adjustment Disorder with potential for violent behavior</t>
  </si>
  <si>
    <t>Intermittent Explosive Disorder, Antisocial Personality Disorder, Substance Use Disorder (in remission), Adjustment Disorder with Anger</t>
  </si>
  <si>
    <t>Major Depressive Disorder, Persistent Depressive Disorder (Dysthymia), Adjustment Disorder with Depressed Mood, Other Specified Depressive Disorder</t>
  </si>
  <si>
    <t>Schizophrenia, Delusional Disorder, Schizoaffective Disorder, Psychotic Disorder Not Otherwise Specified (NOS) or Other Specified Psychotic Disorder</t>
  </si>
  <si>
    <t>Major Depressive Disorder, Adjustment Disorder, Hypothyroidism</t>
  </si>
  <si>
    <t>Brief Psychotic Disorder, Major Depressive Disorder with Psychotic Features, Schizophrenia, Adjustment Disorder with Depressed Mood and Anxiety</t>
  </si>
  <si>
    <t>GAD, Illness Anxiety Disorder, Adjustment Disorder with Anxiety, Major Depressive Disorder</t>
  </si>
  <si>
    <t>Major Neurocognitive Disorder (Dementia), Normal Aging, Depressive Disorder</t>
  </si>
  <si>
    <t>Frontotemporal Dementia, Alzheimer's Disease, Transient Global Amnesia or Epileptic Seizures, Vascular Cognitive Impairment</t>
  </si>
  <si>
    <t>Delirium, Dementia, Psychotic Disorder,</t>
  </si>
  <si>
    <t>Neuroleptic-Induced Movement Disorder, Parkinson's Disease or Other Parkinsonian Syndromes, Tardive Dyskinesia, Dementia with Lewy Bodies, ther Neurological Conditions</t>
  </si>
  <si>
    <t>Delusional Disorder (Persecutory Type), Psychotic Disorder Due to Another Medical Condition, Major Neurocognitive Disorder with Behavioral Disturbance, Substance-Induced Psychotic Disorder</t>
  </si>
  <si>
    <t>Major Depressive Disorder, Persistent Depressive Disorder (Dysthymia), Adjustment Disorder with Depressed Mood</t>
  </si>
  <si>
    <t>Delirium, Anxiety Disorder, Adjustment Disorder</t>
  </si>
  <si>
    <t>Major Depressive Disorder, Adjustment Disorder, Parkinson's Disease-Related Depression</t>
  </si>
  <si>
    <t>Major Depressive Disorder, Adjustment Disorder, Caregiver Burnout, Dementia or Cognitive Decline</t>
  </si>
  <si>
    <t>Delusional Disorder (Capgras Syndrome), Major Neurocognitive Disorder (Dementia), Psychotic Disorder Due to Another Medical Condition</t>
  </si>
  <si>
    <t>Medication-induced tremor (lithium associated), Essential tremor, Parkinson's disease, Anxiety or stress-related tremor</t>
  </si>
  <si>
    <t>Post-Concussive Syndrome, Adjustment Disorder, Anxiety or Mood Disorder</t>
  </si>
  <si>
    <t>Social Anxiety Disorder, OCD, Autism Spectrum Disorder</t>
  </si>
  <si>
    <t>Conduct Disorder, Oppositional Defiant Disorder, Depressive Disorder, Substance Use Disorder, Adjustment Disorder</t>
  </si>
  <si>
    <t>Adjustment Disorder, Anxiety Disorder, Other Specified Feeding or Eating Disorder, Syncope or other medical condition</t>
  </si>
  <si>
    <t>Acute Stress Disorder (ASD), PTSD, Specific Phobia</t>
  </si>
  <si>
    <t>Major Depressive Disorder, Adjustment Disorder with Depressed Mood, Dysthymia (Persistent Depressive Disorder)</t>
  </si>
  <si>
    <t>Major Depressive Disorder, Dissociative Disorder, Adjustment Disorder</t>
  </si>
  <si>
    <t>Psychotic Disorder, Anxiety Disorder, Substance-Induced Psychotic Disorder, Delusional Disorder</t>
  </si>
  <si>
    <t>Separation Anxiety Disorder, Anxiety Disorder Due to Another Medical Condition, Adjustment Disorder with Anxiety</t>
  </si>
  <si>
    <t>PTSD, Enuresis, Adjustment Disorder, ADHD</t>
  </si>
  <si>
    <t>Selective Mutism, Social Anxiety Disorder</t>
  </si>
  <si>
    <t>Tourette's Disorder, OCD, Persistent Motor Tic Disorder, Other Specified Tic Disorder, Anxiety Disorder</t>
  </si>
  <si>
    <t>Catatonia , Severe depressive disorder with psychotic features or catatonic features, Dissociative disorder</t>
  </si>
  <si>
    <t>Adjustment Disorder, PTSD, Separation Anxiety Disorder</t>
  </si>
  <si>
    <t>Adjustment Disorder with Mixed Disturbance of Emotions and Conduct, Separation Anxiety Disorder, Oppositional Defiant Disorder</t>
  </si>
  <si>
    <t>Adjustment Disorder with Anxiety, Anxiety Disorder</t>
  </si>
  <si>
    <t>Adjustment Disorder, Anxiety Disorder, Somatic Symptom Disorder</t>
  </si>
  <si>
    <t>Adjustment Disorder, Normal Adolescent Development, Anxiety Disorder</t>
  </si>
  <si>
    <t>Autism Spectrum Disorder, Developmental Coordination Disorder, OCD</t>
  </si>
  <si>
    <t>Medication-induced anxiety or akathisia, Schizophrenia or other psychotic disorder, Anxiety disorder</t>
  </si>
  <si>
    <t>Schizophrenia or Other Psychotic Disorder, Medication-Induced Movement Disorder, Intellectual Disability</t>
  </si>
  <si>
    <t>Major Depressive Disorder, Dementia or Cognitive Impairment, Anxiety Disorder, Adjustment Disorder</t>
  </si>
  <si>
    <t>Adjustment Disorder, Autism Spectrum Disorder (ASD), Depressive Disorder</t>
  </si>
  <si>
    <t>Migraine with Aura or Other Migraine Subtypes, Tension-Type Headache, Substance-Induced Headache, Anxiety or Stress-Related Condition</t>
  </si>
  <si>
    <t>OCD, Adjustment Disorder, Intellectual Disability (Down Syndrome) with associated behavioral concerns</t>
  </si>
  <si>
    <t>delirium tremens, Alcohol-induced psychotic disorder, Delirium due to another medical condition, Brief psychotic disorder</t>
  </si>
  <si>
    <t>Recall@10</t>
  </si>
  <si>
    <t>Hybrid</t>
  </si>
  <si>
    <t>delirium tremens, Alcohol-induced psychotic disorder, Delirium due to another medical condition, Brief psychotic disorder, # AI vs AI Simulation Transcript</t>
  </si>
  <si>
    <t>Hybrid Model Correct Predictions</t>
  </si>
  <si>
    <t>Correct Prediction</t>
  </si>
  <si>
    <t>Prediction</t>
  </si>
  <si>
    <t>Sum</t>
  </si>
  <si>
    <t>Hybrid Model Correct Prediction</t>
  </si>
  <si>
    <t>Ground Truth Diagnosis</t>
  </si>
  <si>
    <t>Total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</si>
</sst>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8"/>
      <name val="Segoe UI"/>
      <family val="2"/>
    </font>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43">
    <xf numFmtId="0" fontId="0" fillId="0" borderId="0" xfId="0"/>
    <xf numFmtId="0" fontId="0" fillId="0" borderId="1" xfId="0" applyBorder="1" applyAlignment="1">
      <alignment horizontal="center" vertical="center" wrapText="1"/>
    </xf>
    <xf numFmtId="0" fontId="0" fillId="0" borderId="0" xfId="0" applyAlignment="1">
      <alignment horizontal="center" vertical="center"/>
    </xf>
    <xf numFmtId="0" fontId="1" fillId="0" borderId="0" xfId="0" applyFont="1" applyAlignment="1">
      <alignment horizontal="center" vertical="center"/>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vertical="top" wrapText="1"/>
    </xf>
    <xf numFmtId="2" fontId="0" fillId="0" borderId="0" xfId="0" applyNumberFormat="1" applyAlignment="1">
      <alignment horizontal="center" vertical="center"/>
    </xf>
    <xf numFmtId="2" fontId="0" fillId="0" borderId="0" xfId="0" applyNumberFormat="1"/>
    <xf numFmtId="0" fontId="0" fillId="0" borderId="0" xfId="0" applyAlignment="1">
      <alignment horizontal="center"/>
    </xf>
    <xf numFmtId="0" fontId="0" fillId="0" borderId="1" xfId="0" applyBorder="1" applyAlignment="1">
      <alignment horizontal="left" vertical="center" wrapText="1"/>
    </xf>
    <xf numFmtId="2" fontId="0" fillId="0" borderId="1" xfId="0" applyNumberForma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xf>
    <xf numFmtId="10" fontId="0" fillId="0" borderId="1" xfId="1" applyNumberFormat="1" applyFont="1" applyBorder="1" applyAlignment="1">
      <alignment horizontal="center" vertical="center"/>
    </xf>
    <xf numFmtId="10" fontId="0" fillId="0" borderId="1" xfId="1" applyNumberFormat="1" applyFont="1" applyBorder="1" applyAlignment="1">
      <alignment horizontal="left" vertical="center" wrapText="1"/>
    </xf>
    <xf numFmtId="0" fontId="0" fillId="0" borderId="1" xfId="0" applyBorder="1"/>
    <xf numFmtId="0" fontId="1" fillId="0" borderId="1" xfId="0" applyFont="1" applyBorder="1" applyAlignment="1">
      <alignment horizontal="center"/>
    </xf>
    <xf numFmtId="0" fontId="1" fillId="0" borderId="1" xfId="0" applyFont="1" applyBorder="1" applyAlignment="1">
      <alignment horizontal="center" vertical="center" wrapText="1"/>
    </xf>
    <xf numFmtId="2" fontId="1" fillId="0" borderId="1" xfId="0" applyNumberFormat="1" applyFont="1" applyBorder="1" applyAlignment="1">
      <alignment horizontal="center" vertical="center"/>
    </xf>
    <xf numFmtId="0" fontId="2" fillId="0" borderId="1" xfId="0" applyFont="1" applyBorder="1" applyAlignment="1">
      <alignment horizontal="left" vertical="center" wrapText="1"/>
    </xf>
    <xf numFmtId="0" fontId="0" fillId="0" borderId="1" xfId="0" applyBorder="1" applyAlignment="1">
      <alignment vertical="top" wrapText="1"/>
    </xf>
    <xf numFmtId="2" fontId="0" fillId="0" borderId="1" xfId="0" applyNumberFormat="1" applyBorder="1" applyAlignment="1">
      <alignment horizontal="center" vertical="center" wrapText="1"/>
    </xf>
    <xf numFmtId="10" fontId="0" fillId="0" borderId="1" xfId="1" applyNumberFormat="1" applyFont="1" applyBorder="1" applyAlignment="1">
      <alignment horizontal="center" vertical="center" wrapText="1"/>
    </xf>
    <xf numFmtId="0" fontId="1" fillId="0" borderId="1" xfId="0" applyFont="1" applyBorder="1" applyAlignment="1">
      <alignment horizontal="left" vertical="center" wrapText="1"/>
    </xf>
    <xf numFmtId="10" fontId="0" fillId="0" borderId="0" xfId="1" applyNumberFormat="1" applyFont="1" applyAlignment="1">
      <alignment horizontal="center" vertical="center" wrapText="1"/>
    </xf>
    <xf numFmtId="0" fontId="1" fillId="0" borderId="1" xfId="0" applyFont="1" applyBorder="1"/>
    <xf numFmtId="0" fontId="1" fillId="0" borderId="1" xfId="0" applyFont="1" applyBorder="1" applyAlignment="1">
      <alignment horizontal="left" vertical="center"/>
    </xf>
    <xf numFmtId="10" fontId="0" fillId="0" borderId="1" xfId="0" applyNumberFormat="1" applyBorder="1" applyAlignment="1">
      <alignment horizontal="center" vertical="center" wrapText="1"/>
    </xf>
    <xf numFmtId="0" fontId="1" fillId="0" borderId="1" xfId="0" applyFont="1" applyBorder="1" applyAlignment="1">
      <alignment horizontal="center"/>
    </xf>
    <xf numFmtId="10" fontId="0" fillId="0" borderId="0" xfId="1" applyNumberFormat="1" applyFont="1" applyAlignment="1">
      <alignment horizontal="center" vertical="center"/>
    </xf>
    <xf numFmtId="0" fontId="0" fillId="0" borderId="0" xfId="0" applyBorder="1" applyAlignment="1">
      <alignment horizontal="left" vertical="center" wrapText="1"/>
    </xf>
    <xf numFmtId="2" fontId="1" fillId="0" borderId="0" xfId="0" applyNumberFormat="1" applyFont="1" applyBorder="1" applyAlignment="1">
      <alignment horizontal="center" vertical="center"/>
    </xf>
    <xf numFmtId="0" fontId="1" fillId="0" borderId="0" xfId="0" applyFont="1" applyBorder="1" applyAlignment="1">
      <alignment horizontal="center" vertical="center" wrapText="1"/>
    </xf>
    <xf numFmtId="10" fontId="1" fillId="0" borderId="0" xfId="0" applyNumberFormat="1" applyFont="1" applyBorder="1" applyAlignment="1">
      <alignment horizontal="left" vertical="center" wrapText="1"/>
    </xf>
    <xf numFmtId="10" fontId="0" fillId="0" borderId="0" xfId="0" applyNumberFormat="1"/>
    <xf numFmtId="10" fontId="0" fillId="0" borderId="0" xfId="0" applyNumberFormat="1" applyBorder="1" applyAlignment="1">
      <alignment horizontal="left" vertical="center" wrapText="1"/>
    </xf>
    <xf numFmtId="0" fontId="0" fillId="0" borderId="0" xfId="0" applyBorder="1" applyAlignment="1">
      <alignment horizontal="center" vertical="center" wrapText="1"/>
    </xf>
    <xf numFmtId="0" fontId="1" fillId="0" borderId="0" xfId="0" applyFont="1" applyBorder="1" applyAlignment="1">
      <alignment horizontal="center" vertical="center"/>
    </xf>
    <xf numFmtId="10" fontId="0" fillId="0" borderId="0" xfId="0" applyNumberFormat="1" applyBorder="1" applyAlignment="1">
      <alignment horizontal="center" vertical="center" wrapText="1"/>
    </xf>
    <xf numFmtId="10" fontId="0" fillId="0" borderId="0" xfId="1" applyNumberFormat="1" applyFont="1" applyBorder="1" applyAlignment="1">
      <alignment horizontal="center" vertical="center" wrapText="1"/>
    </xf>
    <xf numFmtId="10" fontId="0" fillId="0" borderId="0" xfId="1" applyNumberFormat="1" applyFont="1" applyBorder="1" applyAlignment="1">
      <alignment horizontal="center" vertical="center"/>
    </xf>
    <xf numFmtId="2" fontId="0" fillId="0" borderId="0" xfId="0" applyNumberFormat="1" applyBorder="1" applyAlignment="1">
      <alignment horizontal="center" vertical="center"/>
    </xf>
  </cellXfs>
  <cellStyles count="2">
    <cellStyle name="Normal" xfId="0" builtinId="0"/>
    <cellStyle name="Percent" xfId="1"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09123-28E8-4AB0-979B-2259BD715D2D}">
  <dimension ref="A1:J104"/>
  <sheetViews>
    <sheetView tabSelected="1" zoomScale="89" workbookViewId="0">
      <pane ySplit="2" topLeftCell="A84" activePane="bottomLeft" state="frozen"/>
      <selection pane="bottomLeft" activeCell="D84" sqref="D84"/>
    </sheetView>
  </sheetViews>
  <sheetFormatPr defaultRowHeight="14.4" x14ac:dyDescent="0.3"/>
  <cols>
    <col min="1" max="1" width="10.21875" bestFit="1" customWidth="1"/>
    <col min="2" max="2" width="16.44140625" bestFit="1" customWidth="1"/>
    <col min="3" max="3" width="17.88671875" bestFit="1" customWidth="1"/>
    <col min="4" max="4" width="16.33203125" bestFit="1" customWidth="1"/>
    <col min="5" max="5" width="18" bestFit="1" customWidth="1"/>
    <col min="6" max="6" width="16.33203125" bestFit="1" customWidth="1"/>
    <col min="7" max="7" width="15.21875" bestFit="1" customWidth="1"/>
    <col min="8" max="8" width="16.33203125" bestFit="1" customWidth="1"/>
    <col min="9" max="9" width="29" style="2" bestFit="1" customWidth="1"/>
    <col min="10" max="10" width="12" bestFit="1" customWidth="1"/>
  </cols>
  <sheetData>
    <row r="1" spans="1:10" x14ac:dyDescent="0.3">
      <c r="A1" s="16"/>
      <c r="B1" s="16"/>
      <c r="C1" s="29" t="s">
        <v>185</v>
      </c>
      <c r="D1" s="29"/>
      <c r="E1" s="29" t="s">
        <v>186</v>
      </c>
      <c r="F1" s="29"/>
      <c r="G1" s="29" t="s">
        <v>193</v>
      </c>
      <c r="H1" s="29"/>
      <c r="I1" s="12"/>
      <c r="J1" s="16"/>
    </row>
    <row r="2" spans="1:10" x14ac:dyDescent="0.3">
      <c r="A2" s="17" t="s">
        <v>0</v>
      </c>
      <c r="B2" s="18" t="s">
        <v>2</v>
      </c>
      <c r="C2" s="24" t="s">
        <v>380</v>
      </c>
      <c r="D2" s="13" t="s">
        <v>379</v>
      </c>
      <c r="E2" s="24" t="s">
        <v>380</v>
      </c>
      <c r="F2" s="13" t="s">
        <v>379</v>
      </c>
      <c r="G2" s="24" t="s">
        <v>380</v>
      </c>
      <c r="H2" s="13" t="s">
        <v>379</v>
      </c>
      <c r="I2" s="13" t="s">
        <v>378</v>
      </c>
      <c r="J2" s="26"/>
    </row>
    <row r="3" spans="1:10" ht="148.19999999999999" x14ac:dyDescent="0.3">
      <c r="A3" s="12">
        <v>2</v>
      </c>
      <c r="B3" s="1" t="s">
        <v>1</v>
      </c>
      <c r="C3" s="20" t="s">
        <v>12</v>
      </c>
      <c r="D3" s="12">
        <v>1</v>
      </c>
      <c r="E3" s="10" t="s">
        <v>187</v>
      </c>
      <c r="F3" s="12">
        <v>1</v>
      </c>
      <c r="G3" s="10" t="s">
        <v>281</v>
      </c>
      <c r="H3" s="12">
        <v>1</v>
      </c>
      <c r="I3" s="1">
        <v>1</v>
      </c>
      <c r="J3" s="21"/>
    </row>
    <row r="4" spans="1:10" ht="201.6" x14ac:dyDescent="0.3">
      <c r="A4" s="12">
        <v>3</v>
      </c>
      <c r="B4" s="1" t="s">
        <v>32</v>
      </c>
      <c r="C4" s="10" t="s">
        <v>13</v>
      </c>
      <c r="D4" s="12">
        <v>0</v>
      </c>
      <c r="E4" s="10" t="s">
        <v>188</v>
      </c>
      <c r="F4" s="12">
        <v>0</v>
      </c>
      <c r="G4" s="10" t="s">
        <v>282</v>
      </c>
      <c r="H4" s="12">
        <v>0</v>
      </c>
      <c r="I4" s="1">
        <v>0</v>
      </c>
      <c r="J4" s="21"/>
    </row>
    <row r="5" spans="1:10" ht="201.6" x14ac:dyDescent="0.3">
      <c r="A5" s="12">
        <v>4</v>
      </c>
      <c r="B5" s="1" t="s">
        <v>33</v>
      </c>
      <c r="C5" s="10" t="s">
        <v>14</v>
      </c>
      <c r="D5" s="12">
        <v>0</v>
      </c>
      <c r="E5" s="10" t="s">
        <v>189</v>
      </c>
      <c r="F5" s="12">
        <v>0</v>
      </c>
      <c r="G5" s="10" t="s">
        <v>283</v>
      </c>
      <c r="H5" s="12">
        <v>0</v>
      </c>
      <c r="I5" s="1">
        <v>0</v>
      </c>
      <c r="J5" s="21"/>
    </row>
    <row r="6" spans="1:10" ht="230.4" x14ac:dyDescent="0.3">
      <c r="A6" s="12">
        <v>5</v>
      </c>
      <c r="B6" s="1" t="s">
        <v>34</v>
      </c>
      <c r="C6" s="10" t="s">
        <v>15</v>
      </c>
      <c r="D6" s="12">
        <v>1</v>
      </c>
      <c r="E6" s="10" t="s">
        <v>190</v>
      </c>
      <c r="F6" s="12">
        <v>1</v>
      </c>
      <c r="G6" s="10" t="s">
        <v>284</v>
      </c>
      <c r="H6" s="12">
        <v>1</v>
      </c>
      <c r="I6" s="1">
        <v>1</v>
      </c>
      <c r="J6" s="21"/>
    </row>
    <row r="7" spans="1:10" ht="187.2" x14ac:dyDescent="0.3">
      <c r="A7" s="12">
        <v>6</v>
      </c>
      <c r="B7" s="1" t="s">
        <v>3</v>
      </c>
      <c r="C7" s="10" t="s">
        <v>16</v>
      </c>
      <c r="D7" s="12">
        <v>1</v>
      </c>
      <c r="E7" s="10" t="s">
        <v>191</v>
      </c>
      <c r="F7" s="12">
        <v>0</v>
      </c>
      <c r="G7" s="10" t="s">
        <v>285</v>
      </c>
      <c r="H7" s="12">
        <v>0</v>
      </c>
      <c r="I7" s="1">
        <v>1</v>
      </c>
      <c r="J7" s="21"/>
    </row>
    <row r="8" spans="1:10" ht="187.2" x14ac:dyDescent="0.3">
      <c r="A8" s="12">
        <v>7</v>
      </c>
      <c r="B8" s="1" t="s">
        <v>35</v>
      </c>
      <c r="C8" s="10" t="s">
        <v>17</v>
      </c>
      <c r="D8" s="12">
        <v>0</v>
      </c>
      <c r="E8" s="10" t="s">
        <v>192</v>
      </c>
      <c r="F8" s="12">
        <v>0</v>
      </c>
      <c r="G8" s="10" t="s">
        <v>286</v>
      </c>
      <c r="H8" s="12">
        <v>0</v>
      </c>
      <c r="I8" s="1">
        <v>0</v>
      </c>
      <c r="J8" s="21"/>
    </row>
    <row r="9" spans="1:10" ht="302.39999999999998" x14ac:dyDescent="0.3">
      <c r="A9" s="12">
        <v>8</v>
      </c>
      <c r="B9" s="1" t="s">
        <v>36</v>
      </c>
      <c r="C9" s="10" t="s">
        <v>18</v>
      </c>
      <c r="D9" s="12">
        <v>0</v>
      </c>
      <c r="E9" s="10" t="s">
        <v>194</v>
      </c>
      <c r="F9" s="12">
        <v>0</v>
      </c>
      <c r="G9" s="10" t="s">
        <v>287</v>
      </c>
      <c r="H9" s="12">
        <v>0</v>
      </c>
      <c r="I9" s="1">
        <v>0</v>
      </c>
      <c r="J9" s="21"/>
    </row>
    <row r="10" spans="1:10" ht="331.2" x14ac:dyDescent="0.3">
      <c r="A10" s="12">
        <v>9</v>
      </c>
      <c r="B10" s="1" t="s">
        <v>4</v>
      </c>
      <c r="C10" s="10" t="s">
        <v>19</v>
      </c>
      <c r="D10" s="12">
        <v>1</v>
      </c>
      <c r="E10" s="10" t="s">
        <v>195</v>
      </c>
      <c r="F10" s="12">
        <v>1</v>
      </c>
      <c r="G10" s="10" t="s">
        <v>288</v>
      </c>
      <c r="H10" s="12">
        <v>1</v>
      </c>
      <c r="I10" s="1">
        <v>1</v>
      </c>
      <c r="J10" s="21"/>
    </row>
    <row r="11" spans="1:10" ht="288" x14ac:dyDescent="0.3">
      <c r="A11" s="12">
        <v>10</v>
      </c>
      <c r="B11" s="1" t="s">
        <v>5</v>
      </c>
      <c r="C11" s="10" t="s">
        <v>20</v>
      </c>
      <c r="D11" s="12">
        <v>1</v>
      </c>
      <c r="E11" s="10" t="s">
        <v>196</v>
      </c>
      <c r="F11" s="12">
        <v>1</v>
      </c>
      <c r="G11" s="10" t="s">
        <v>289</v>
      </c>
      <c r="H11" s="12">
        <v>1</v>
      </c>
      <c r="I11" s="1">
        <v>1</v>
      </c>
      <c r="J11" s="21"/>
    </row>
    <row r="12" spans="1:10" ht="259.2" x14ac:dyDescent="0.3">
      <c r="A12" s="12">
        <v>11</v>
      </c>
      <c r="B12" s="1" t="s">
        <v>6</v>
      </c>
      <c r="C12" s="10" t="s">
        <v>21</v>
      </c>
      <c r="D12" s="12">
        <v>1</v>
      </c>
      <c r="E12" s="10" t="s">
        <v>197</v>
      </c>
      <c r="F12" s="12">
        <v>1</v>
      </c>
      <c r="G12" s="10" t="s">
        <v>290</v>
      </c>
      <c r="H12" s="12">
        <v>1</v>
      </c>
      <c r="I12" s="1">
        <v>1</v>
      </c>
      <c r="J12" s="21"/>
    </row>
    <row r="13" spans="1:10" ht="230.4" x14ac:dyDescent="0.3">
      <c r="A13" s="12">
        <v>12</v>
      </c>
      <c r="B13" s="1" t="s">
        <v>7</v>
      </c>
      <c r="C13" s="10" t="s">
        <v>22</v>
      </c>
      <c r="D13" s="12">
        <v>0</v>
      </c>
      <c r="E13" s="10" t="s">
        <v>198</v>
      </c>
      <c r="F13" s="12">
        <v>0</v>
      </c>
      <c r="G13" s="10" t="s">
        <v>291</v>
      </c>
      <c r="H13" s="12">
        <v>0</v>
      </c>
      <c r="I13" s="1">
        <v>0</v>
      </c>
      <c r="J13" s="21"/>
    </row>
    <row r="14" spans="1:10" ht="244.8" x14ac:dyDescent="0.3">
      <c r="A14" s="12">
        <v>13</v>
      </c>
      <c r="B14" s="1" t="s">
        <v>37</v>
      </c>
      <c r="C14" s="10" t="s">
        <v>23</v>
      </c>
      <c r="D14" s="12">
        <v>1</v>
      </c>
      <c r="E14" s="10" t="s">
        <v>199</v>
      </c>
      <c r="F14" s="12">
        <v>1</v>
      </c>
      <c r="G14" s="10" t="s">
        <v>292</v>
      </c>
      <c r="H14" s="12">
        <v>1</v>
      </c>
      <c r="I14" s="1">
        <v>1</v>
      </c>
      <c r="J14" s="21"/>
    </row>
    <row r="15" spans="1:10" ht="230.4" x14ac:dyDescent="0.3">
      <c r="A15" s="12">
        <v>14</v>
      </c>
      <c r="B15" s="1" t="s">
        <v>8</v>
      </c>
      <c r="C15" s="10" t="s">
        <v>24</v>
      </c>
      <c r="D15" s="12">
        <v>0</v>
      </c>
      <c r="E15" s="10" t="s">
        <v>200</v>
      </c>
      <c r="F15" s="12">
        <v>0</v>
      </c>
      <c r="G15" s="10" t="s">
        <v>293</v>
      </c>
      <c r="H15" s="12">
        <v>0</v>
      </c>
      <c r="I15" s="1">
        <v>0</v>
      </c>
      <c r="J15" s="21"/>
    </row>
    <row r="16" spans="1:10" ht="244.8" x14ac:dyDescent="0.3">
      <c r="A16" s="12">
        <v>15</v>
      </c>
      <c r="B16" s="1" t="s">
        <v>9</v>
      </c>
      <c r="C16" s="10" t="s">
        <v>25</v>
      </c>
      <c r="D16" s="12">
        <v>0</v>
      </c>
      <c r="E16" s="10" t="s">
        <v>201</v>
      </c>
      <c r="F16" s="12">
        <v>0</v>
      </c>
      <c r="G16" s="10" t="s">
        <v>294</v>
      </c>
      <c r="H16" s="12">
        <v>0</v>
      </c>
      <c r="I16" s="1">
        <v>1</v>
      </c>
      <c r="J16" s="16"/>
    </row>
    <row r="17" spans="1:10" ht="288" x14ac:dyDescent="0.3">
      <c r="A17" s="12">
        <v>16</v>
      </c>
      <c r="B17" s="1" t="s">
        <v>10</v>
      </c>
      <c r="C17" s="10" t="s">
        <v>26</v>
      </c>
      <c r="D17" s="12">
        <v>0</v>
      </c>
      <c r="E17" s="10" t="s">
        <v>202</v>
      </c>
      <c r="F17" s="12">
        <v>1</v>
      </c>
      <c r="G17" s="10" t="s">
        <v>295</v>
      </c>
      <c r="H17" s="12">
        <v>0</v>
      </c>
      <c r="I17" s="1">
        <v>1</v>
      </c>
      <c r="J17" s="16"/>
    </row>
    <row r="18" spans="1:10" ht="273.60000000000002" x14ac:dyDescent="0.3">
      <c r="A18" s="12">
        <v>17</v>
      </c>
      <c r="B18" s="1" t="s">
        <v>11</v>
      </c>
      <c r="C18" s="10" t="s">
        <v>27</v>
      </c>
      <c r="D18" s="12">
        <v>1</v>
      </c>
      <c r="E18" s="10" t="s">
        <v>203</v>
      </c>
      <c r="F18" s="12">
        <v>1</v>
      </c>
      <c r="G18" s="10" t="s">
        <v>296</v>
      </c>
      <c r="H18" s="12">
        <v>1</v>
      </c>
      <c r="I18" s="1">
        <v>1</v>
      </c>
      <c r="J18" s="16"/>
    </row>
    <row r="19" spans="1:10" ht="345.6" x14ac:dyDescent="0.3">
      <c r="A19" s="12">
        <v>18</v>
      </c>
      <c r="B19" s="1" t="s">
        <v>38</v>
      </c>
      <c r="C19" s="10" t="s">
        <v>28</v>
      </c>
      <c r="D19" s="12">
        <v>0</v>
      </c>
      <c r="E19" s="10" t="s">
        <v>204</v>
      </c>
      <c r="F19" s="12">
        <v>0</v>
      </c>
      <c r="G19" s="10" t="s">
        <v>297</v>
      </c>
      <c r="H19" s="12">
        <v>0</v>
      </c>
      <c r="I19" s="1">
        <v>0</v>
      </c>
      <c r="J19" s="16"/>
    </row>
    <row r="20" spans="1:10" ht="187.2" x14ac:dyDescent="0.3">
      <c r="A20" s="12">
        <v>19</v>
      </c>
      <c r="B20" s="1" t="s">
        <v>39</v>
      </c>
      <c r="C20" s="10" t="s">
        <v>29</v>
      </c>
      <c r="D20" s="12">
        <v>1</v>
      </c>
      <c r="E20" s="10" t="s">
        <v>205</v>
      </c>
      <c r="F20" s="12">
        <v>1</v>
      </c>
      <c r="G20" s="10" t="s">
        <v>298</v>
      </c>
      <c r="H20" s="12">
        <v>1</v>
      </c>
      <c r="I20" s="1">
        <v>1</v>
      </c>
      <c r="J20" s="16"/>
    </row>
    <row r="21" spans="1:10" ht="316.8" x14ac:dyDescent="0.3">
      <c r="A21" s="12">
        <v>20</v>
      </c>
      <c r="B21" s="1" t="s">
        <v>40</v>
      </c>
      <c r="C21" s="10" t="s">
        <v>30</v>
      </c>
      <c r="D21" s="12">
        <v>1</v>
      </c>
      <c r="E21" s="10" t="s">
        <v>206</v>
      </c>
      <c r="F21" s="12">
        <v>1</v>
      </c>
      <c r="G21" s="10" t="s">
        <v>299</v>
      </c>
      <c r="H21" s="12">
        <v>1</v>
      </c>
      <c r="I21" s="1">
        <v>1</v>
      </c>
      <c r="J21" s="16"/>
    </row>
    <row r="22" spans="1:10" ht="331.2" x14ac:dyDescent="0.3">
      <c r="A22" s="12">
        <v>21</v>
      </c>
      <c r="B22" s="1" t="s">
        <v>41</v>
      </c>
      <c r="C22" s="10" t="s">
        <v>31</v>
      </c>
      <c r="D22" s="12">
        <v>0</v>
      </c>
      <c r="E22" s="10" t="s">
        <v>207</v>
      </c>
      <c r="F22" s="12">
        <v>0</v>
      </c>
      <c r="G22" s="10" t="s">
        <v>300</v>
      </c>
      <c r="H22" s="12">
        <v>0</v>
      </c>
      <c r="I22" s="1">
        <v>0</v>
      </c>
      <c r="J22" s="16"/>
    </row>
    <row r="23" spans="1:10" ht="129.6" x14ac:dyDescent="0.3">
      <c r="A23" s="12">
        <v>22</v>
      </c>
      <c r="B23" s="1" t="s">
        <v>55</v>
      </c>
      <c r="C23" s="10" t="s">
        <v>112</v>
      </c>
      <c r="D23" s="12">
        <v>1</v>
      </c>
      <c r="E23" s="10" t="s">
        <v>208</v>
      </c>
      <c r="F23" s="12">
        <v>1</v>
      </c>
      <c r="G23" s="10" t="s">
        <v>301</v>
      </c>
      <c r="H23" s="12">
        <v>1</v>
      </c>
      <c r="I23" s="1">
        <v>1</v>
      </c>
      <c r="J23" s="16"/>
    </row>
    <row r="24" spans="1:10" ht="230.4" x14ac:dyDescent="0.3">
      <c r="A24" s="12">
        <v>23</v>
      </c>
      <c r="B24" s="1" t="s">
        <v>56</v>
      </c>
      <c r="C24" s="10" t="s">
        <v>113</v>
      </c>
      <c r="D24" s="12">
        <v>0</v>
      </c>
      <c r="E24" s="10" t="s">
        <v>209</v>
      </c>
      <c r="F24" s="12">
        <v>0</v>
      </c>
      <c r="G24" s="10" t="s">
        <v>302</v>
      </c>
      <c r="H24" s="12">
        <v>0</v>
      </c>
      <c r="I24" s="1">
        <v>1</v>
      </c>
      <c r="J24" s="16"/>
    </row>
    <row r="25" spans="1:10" ht="172.8" x14ac:dyDescent="0.3">
      <c r="A25" s="12">
        <v>24</v>
      </c>
      <c r="B25" s="1" t="s">
        <v>57</v>
      </c>
      <c r="C25" s="10" t="s">
        <v>114</v>
      </c>
      <c r="D25" s="12">
        <v>1</v>
      </c>
      <c r="E25" s="10" t="s">
        <v>210</v>
      </c>
      <c r="F25" s="12">
        <v>1</v>
      </c>
      <c r="G25" s="10" t="s">
        <v>303</v>
      </c>
      <c r="H25" s="12">
        <v>1</v>
      </c>
      <c r="I25" s="1">
        <v>1</v>
      </c>
      <c r="J25" s="16"/>
    </row>
    <row r="26" spans="1:10" ht="201.6" x14ac:dyDescent="0.3">
      <c r="A26" s="12">
        <v>25</v>
      </c>
      <c r="B26" s="1" t="s">
        <v>58</v>
      </c>
      <c r="C26" s="10" t="s">
        <v>115</v>
      </c>
      <c r="D26" s="12">
        <v>0</v>
      </c>
      <c r="E26" s="10" t="s">
        <v>211</v>
      </c>
      <c r="F26" s="12">
        <v>0</v>
      </c>
      <c r="G26" s="10" t="s">
        <v>304</v>
      </c>
      <c r="H26" s="12">
        <v>0</v>
      </c>
      <c r="I26" s="1">
        <v>0</v>
      </c>
      <c r="J26" s="16"/>
    </row>
    <row r="27" spans="1:10" ht="216" x14ac:dyDescent="0.3">
      <c r="A27" s="12">
        <v>26</v>
      </c>
      <c r="B27" s="1" t="s">
        <v>59</v>
      </c>
      <c r="C27" s="10" t="s">
        <v>377</v>
      </c>
      <c r="D27" s="12">
        <v>0</v>
      </c>
      <c r="E27" s="10" t="s">
        <v>212</v>
      </c>
      <c r="F27" s="12">
        <v>0</v>
      </c>
      <c r="G27" s="10" t="s">
        <v>305</v>
      </c>
      <c r="H27" s="12">
        <v>0</v>
      </c>
      <c r="I27" s="1">
        <v>0</v>
      </c>
      <c r="J27" s="16"/>
    </row>
    <row r="28" spans="1:10" ht="144" x14ac:dyDescent="0.3">
      <c r="A28" s="12">
        <v>27</v>
      </c>
      <c r="B28" s="1" t="s">
        <v>60</v>
      </c>
      <c r="C28" s="10" t="s">
        <v>116</v>
      </c>
      <c r="D28" s="12">
        <v>0</v>
      </c>
      <c r="E28" s="10" t="s">
        <v>213</v>
      </c>
      <c r="F28" s="12">
        <v>0</v>
      </c>
      <c r="G28" s="10" t="s">
        <v>306</v>
      </c>
      <c r="H28" s="12">
        <v>0</v>
      </c>
      <c r="I28" s="1">
        <v>0</v>
      </c>
      <c r="J28" s="16"/>
    </row>
    <row r="29" spans="1:10" ht="158.4" x14ac:dyDescent="0.3">
      <c r="A29" s="12">
        <v>28</v>
      </c>
      <c r="B29" s="1" t="s">
        <v>61</v>
      </c>
      <c r="C29" s="10" t="s">
        <v>117</v>
      </c>
      <c r="D29" s="12">
        <v>0</v>
      </c>
      <c r="E29" s="10" t="s">
        <v>214</v>
      </c>
      <c r="F29" s="12">
        <v>0</v>
      </c>
      <c r="G29" s="10" t="s">
        <v>307</v>
      </c>
      <c r="H29" s="12">
        <v>1</v>
      </c>
      <c r="I29" s="1">
        <v>1</v>
      </c>
      <c r="J29" s="16"/>
    </row>
    <row r="30" spans="1:10" ht="316.8" x14ac:dyDescent="0.3">
      <c r="A30" s="12">
        <v>29</v>
      </c>
      <c r="B30" s="1" t="s">
        <v>62</v>
      </c>
      <c r="C30" s="10" t="s">
        <v>118</v>
      </c>
      <c r="D30" s="12">
        <v>0</v>
      </c>
      <c r="E30" s="10" t="s">
        <v>215</v>
      </c>
      <c r="F30" s="12">
        <v>0</v>
      </c>
      <c r="G30" s="10" t="s">
        <v>308</v>
      </c>
      <c r="H30" s="12">
        <v>0</v>
      </c>
      <c r="I30" s="1">
        <v>0</v>
      </c>
      <c r="J30" s="16"/>
    </row>
    <row r="31" spans="1:10" ht="158.4" x14ac:dyDescent="0.3">
      <c r="A31" s="12">
        <v>30</v>
      </c>
      <c r="B31" s="1" t="s">
        <v>63</v>
      </c>
      <c r="C31" s="10" t="s">
        <v>119</v>
      </c>
      <c r="D31" s="12">
        <v>1</v>
      </c>
      <c r="E31" s="10" t="s">
        <v>216</v>
      </c>
      <c r="F31" s="12">
        <v>1</v>
      </c>
      <c r="G31" s="10" t="s">
        <v>309</v>
      </c>
      <c r="H31" s="12">
        <v>1</v>
      </c>
      <c r="I31" s="1">
        <v>1</v>
      </c>
      <c r="J31" s="16"/>
    </row>
    <row r="32" spans="1:10" ht="230.4" x14ac:dyDescent="0.3">
      <c r="A32" s="12">
        <v>31</v>
      </c>
      <c r="B32" s="1" t="s">
        <v>64</v>
      </c>
      <c r="C32" s="10" t="s">
        <v>120</v>
      </c>
      <c r="D32" s="12">
        <v>0</v>
      </c>
      <c r="E32" s="10" t="s">
        <v>217</v>
      </c>
      <c r="F32" s="12">
        <v>0</v>
      </c>
      <c r="G32" s="10" t="s">
        <v>310</v>
      </c>
      <c r="H32" s="12">
        <v>0</v>
      </c>
      <c r="I32" s="1">
        <v>0</v>
      </c>
      <c r="J32" s="16"/>
    </row>
    <row r="33" spans="1:10" ht="201.6" x14ac:dyDescent="0.3">
      <c r="A33" s="12">
        <v>32</v>
      </c>
      <c r="B33" s="1" t="s">
        <v>65</v>
      </c>
      <c r="C33" s="10" t="s">
        <v>121</v>
      </c>
      <c r="D33" s="12">
        <v>0</v>
      </c>
      <c r="E33" s="10" t="s">
        <v>218</v>
      </c>
      <c r="F33" s="12">
        <v>0</v>
      </c>
      <c r="G33" s="10" t="s">
        <v>311</v>
      </c>
      <c r="H33" s="12">
        <v>0</v>
      </c>
      <c r="I33" s="1">
        <v>0</v>
      </c>
      <c r="J33" s="16"/>
    </row>
    <row r="34" spans="1:10" ht="273.60000000000002" x14ac:dyDescent="0.3">
      <c r="A34" s="12">
        <v>33</v>
      </c>
      <c r="B34" s="1" t="s">
        <v>66</v>
      </c>
      <c r="C34" s="10" t="s">
        <v>184</v>
      </c>
      <c r="D34" s="12">
        <v>0</v>
      </c>
      <c r="E34" s="10" t="s">
        <v>219</v>
      </c>
      <c r="F34" s="12">
        <v>1</v>
      </c>
      <c r="G34" s="10" t="s">
        <v>312</v>
      </c>
      <c r="H34" s="12">
        <v>0</v>
      </c>
      <c r="I34" s="1">
        <v>1</v>
      </c>
      <c r="J34" s="16"/>
    </row>
    <row r="35" spans="1:10" ht="201.6" x14ac:dyDescent="0.3">
      <c r="A35" s="12">
        <v>34</v>
      </c>
      <c r="B35" s="1" t="s">
        <v>67</v>
      </c>
      <c r="C35" s="10" t="s">
        <v>122</v>
      </c>
      <c r="D35" s="12">
        <v>1</v>
      </c>
      <c r="E35" s="10" t="s">
        <v>220</v>
      </c>
      <c r="F35" s="12">
        <v>0</v>
      </c>
      <c r="G35" s="10" t="s">
        <v>313</v>
      </c>
      <c r="H35" s="12">
        <v>0</v>
      </c>
      <c r="I35" s="1">
        <v>1</v>
      </c>
      <c r="J35" s="16"/>
    </row>
    <row r="36" spans="1:10" ht="129.6" x14ac:dyDescent="0.3">
      <c r="A36" s="12">
        <v>35</v>
      </c>
      <c r="B36" s="1" t="s">
        <v>68</v>
      </c>
      <c r="C36" s="10" t="s">
        <v>123</v>
      </c>
      <c r="D36" s="12">
        <v>1</v>
      </c>
      <c r="E36" s="10" t="s">
        <v>221</v>
      </c>
      <c r="F36" s="12">
        <v>1</v>
      </c>
      <c r="G36" s="10" t="s">
        <v>314</v>
      </c>
      <c r="H36" s="12">
        <v>1</v>
      </c>
      <c r="I36" s="1">
        <v>1</v>
      </c>
      <c r="J36" s="16"/>
    </row>
    <row r="37" spans="1:10" ht="216" x14ac:dyDescent="0.3">
      <c r="A37" s="12">
        <v>37</v>
      </c>
      <c r="B37" s="1" t="s">
        <v>69</v>
      </c>
      <c r="C37" s="10" t="s">
        <v>124</v>
      </c>
      <c r="D37" s="12">
        <v>0</v>
      </c>
      <c r="E37" s="10" t="s">
        <v>222</v>
      </c>
      <c r="F37" s="12">
        <v>0</v>
      </c>
      <c r="G37" s="10" t="s">
        <v>315</v>
      </c>
      <c r="H37" s="12">
        <v>0</v>
      </c>
      <c r="I37" s="1">
        <v>0</v>
      </c>
      <c r="J37" s="16"/>
    </row>
    <row r="38" spans="1:10" ht="230.4" x14ac:dyDescent="0.3">
      <c r="A38" s="12">
        <v>39</v>
      </c>
      <c r="B38" s="1" t="s">
        <v>70</v>
      </c>
      <c r="C38" s="10" t="s">
        <v>125</v>
      </c>
      <c r="D38" s="12">
        <v>0</v>
      </c>
      <c r="E38" s="10" t="s">
        <v>223</v>
      </c>
      <c r="F38" s="12">
        <v>0</v>
      </c>
      <c r="G38" s="10" t="s">
        <v>316</v>
      </c>
      <c r="H38" s="12">
        <v>0</v>
      </c>
      <c r="I38" s="1">
        <v>0</v>
      </c>
      <c r="J38" s="16"/>
    </row>
    <row r="39" spans="1:10" ht="201.6" x14ac:dyDescent="0.3">
      <c r="A39" s="12">
        <v>40</v>
      </c>
      <c r="B39" s="1" t="s">
        <v>71</v>
      </c>
      <c r="C39" s="10" t="s">
        <v>126</v>
      </c>
      <c r="D39" s="12">
        <v>1</v>
      </c>
      <c r="E39" s="10" t="s">
        <v>224</v>
      </c>
      <c r="F39" s="12">
        <v>1</v>
      </c>
      <c r="G39" s="10" t="s">
        <v>317</v>
      </c>
      <c r="H39" s="12">
        <v>0</v>
      </c>
      <c r="I39" s="1">
        <v>1</v>
      </c>
      <c r="J39" s="16"/>
    </row>
    <row r="40" spans="1:10" ht="259.2" x14ac:dyDescent="0.3">
      <c r="A40" s="12">
        <v>41</v>
      </c>
      <c r="B40" s="1" t="s">
        <v>72</v>
      </c>
      <c r="C40" s="10" t="s">
        <v>127</v>
      </c>
      <c r="D40" s="12">
        <v>0</v>
      </c>
      <c r="E40" s="10" t="s">
        <v>225</v>
      </c>
      <c r="F40" s="12">
        <v>0</v>
      </c>
      <c r="G40" s="10" t="s">
        <v>318</v>
      </c>
      <c r="H40" s="12">
        <v>0</v>
      </c>
      <c r="I40" s="1">
        <v>0</v>
      </c>
      <c r="J40" s="16"/>
    </row>
    <row r="41" spans="1:10" ht="187.2" x14ac:dyDescent="0.3">
      <c r="A41" s="12">
        <v>42</v>
      </c>
      <c r="B41" s="1" t="s">
        <v>73</v>
      </c>
      <c r="C41" s="10" t="s">
        <v>128</v>
      </c>
      <c r="D41" s="12">
        <v>0</v>
      </c>
      <c r="E41" s="10" t="s">
        <v>226</v>
      </c>
      <c r="F41" s="12">
        <v>0</v>
      </c>
      <c r="G41" s="10" t="s">
        <v>319</v>
      </c>
      <c r="H41" s="12">
        <v>0</v>
      </c>
      <c r="I41" s="1">
        <v>0</v>
      </c>
      <c r="J41" s="16"/>
    </row>
    <row r="42" spans="1:10" ht="201.6" x14ac:dyDescent="0.3">
      <c r="A42" s="12">
        <v>43</v>
      </c>
      <c r="B42" s="1" t="s">
        <v>74</v>
      </c>
      <c r="C42" s="10" t="s">
        <v>129</v>
      </c>
      <c r="D42" s="12">
        <v>0</v>
      </c>
      <c r="E42" s="10" t="s">
        <v>227</v>
      </c>
      <c r="F42" s="12">
        <v>0</v>
      </c>
      <c r="G42" s="10" t="s">
        <v>320</v>
      </c>
      <c r="H42" s="12">
        <v>0</v>
      </c>
      <c r="I42" s="1">
        <v>0</v>
      </c>
      <c r="J42" s="16"/>
    </row>
    <row r="43" spans="1:10" ht="201.6" x14ac:dyDescent="0.3">
      <c r="A43" s="12">
        <v>44</v>
      </c>
      <c r="B43" s="1" t="s">
        <v>75</v>
      </c>
      <c r="C43" s="10" t="s">
        <v>130</v>
      </c>
      <c r="D43" s="12">
        <v>1</v>
      </c>
      <c r="E43" s="10" t="s">
        <v>228</v>
      </c>
      <c r="F43" s="12">
        <v>1</v>
      </c>
      <c r="G43" s="10" t="s">
        <v>321</v>
      </c>
      <c r="H43" s="12">
        <v>1</v>
      </c>
      <c r="I43" s="1">
        <v>1</v>
      </c>
      <c r="J43" s="16"/>
    </row>
    <row r="44" spans="1:10" ht="172.8" x14ac:dyDescent="0.3">
      <c r="A44" s="12">
        <v>45</v>
      </c>
      <c r="B44" s="1" t="s">
        <v>76</v>
      </c>
      <c r="C44" s="10" t="s">
        <v>131</v>
      </c>
      <c r="D44" s="12">
        <v>0</v>
      </c>
      <c r="E44" s="10" t="s">
        <v>229</v>
      </c>
      <c r="F44" s="12">
        <v>0</v>
      </c>
      <c r="G44" s="10" t="s">
        <v>322</v>
      </c>
      <c r="H44" s="12">
        <v>1</v>
      </c>
      <c r="I44" s="1">
        <v>1</v>
      </c>
      <c r="J44" s="16"/>
    </row>
    <row r="45" spans="1:10" ht="187.2" x14ac:dyDescent="0.3">
      <c r="A45" s="12">
        <v>47</v>
      </c>
      <c r="B45" s="1" t="s">
        <v>77</v>
      </c>
      <c r="C45" s="10" t="s">
        <v>132</v>
      </c>
      <c r="D45" s="12">
        <v>1</v>
      </c>
      <c r="E45" s="10" t="s">
        <v>230</v>
      </c>
      <c r="F45" s="12">
        <v>1</v>
      </c>
      <c r="G45" s="10" t="s">
        <v>323</v>
      </c>
      <c r="H45" s="12">
        <v>1</v>
      </c>
      <c r="I45" s="1">
        <v>1</v>
      </c>
      <c r="J45" s="16"/>
    </row>
    <row r="46" spans="1:10" ht="187.2" x14ac:dyDescent="0.3">
      <c r="A46" s="12">
        <v>48</v>
      </c>
      <c r="B46" s="1" t="s">
        <v>78</v>
      </c>
      <c r="C46" s="10" t="s">
        <v>133</v>
      </c>
      <c r="D46" s="12">
        <v>0</v>
      </c>
      <c r="E46" s="10" t="s">
        <v>231</v>
      </c>
      <c r="F46" s="12">
        <v>0</v>
      </c>
      <c r="G46" s="10" t="s">
        <v>324</v>
      </c>
      <c r="H46" s="12">
        <v>0</v>
      </c>
      <c r="I46" s="1">
        <v>0</v>
      </c>
      <c r="J46" s="16"/>
    </row>
    <row r="47" spans="1:10" ht="172.8" x14ac:dyDescent="0.3">
      <c r="A47" s="12">
        <v>49</v>
      </c>
      <c r="B47" s="1" t="s">
        <v>79</v>
      </c>
      <c r="C47" s="10" t="s">
        <v>134</v>
      </c>
      <c r="D47" s="12">
        <v>1</v>
      </c>
      <c r="E47" s="10" t="s">
        <v>232</v>
      </c>
      <c r="F47" s="12">
        <v>0</v>
      </c>
      <c r="G47" s="10" t="s">
        <v>325</v>
      </c>
      <c r="H47" s="12">
        <v>1</v>
      </c>
      <c r="I47" s="1">
        <v>1</v>
      </c>
      <c r="J47" s="16"/>
    </row>
    <row r="48" spans="1:10" ht="187.2" x14ac:dyDescent="0.3">
      <c r="A48" s="12">
        <v>50</v>
      </c>
      <c r="B48" s="1" t="s">
        <v>80</v>
      </c>
      <c r="C48" s="10" t="s">
        <v>135</v>
      </c>
      <c r="D48" s="12">
        <v>1</v>
      </c>
      <c r="E48" s="10" t="s">
        <v>233</v>
      </c>
      <c r="F48" s="12">
        <v>0</v>
      </c>
      <c r="G48" s="10" t="s">
        <v>326</v>
      </c>
      <c r="H48" s="12">
        <v>0</v>
      </c>
      <c r="I48" s="1">
        <v>1</v>
      </c>
      <c r="J48" s="16"/>
    </row>
    <row r="49" spans="1:10" ht="187.2" x14ac:dyDescent="0.3">
      <c r="A49" s="12">
        <v>51</v>
      </c>
      <c r="B49" s="1" t="s">
        <v>81</v>
      </c>
      <c r="C49" s="10" t="s">
        <v>136</v>
      </c>
      <c r="D49" s="12">
        <v>1</v>
      </c>
      <c r="E49" s="10" t="s">
        <v>234</v>
      </c>
      <c r="F49" s="12">
        <v>0</v>
      </c>
      <c r="G49" s="10" t="s">
        <v>327</v>
      </c>
      <c r="H49" s="12">
        <v>0</v>
      </c>
      <c r="I49" s="1">
        <v>1</v>
      </c>
      <c r="J49" s="16"/>
    </row>
    <row r="50" spans="1:10" ht="187.2" x14ac:dyDescent="0.3">
      <c r="A50" s="12">
        <v>52</v>
      </c>
      <c r="B50" s="1" t="s">
        <v>82</v>
      </c>
      <c r="C50" s="10" t="s">
        <v>137</v>
      </c>
      <c r="D50" s="12">
        <v>1</v>
      </c>
      <c r="E50" s="10" t="s">
        <v>235</v>
      </c>
      <c r="F50" s="12">
        <v>0</v>
      </c>
      <c r="G50" s="10" t="s">
        <v>328</v>
      </c>
      <c r="H50" s="12">
        <v>0</v>
      </c>
      <c r="I50" s="1">
        <v>1</v>
      </c>
      <c r="J50" s="16"/>
    </row>
    <row r="51" spans="1:10" ht="187.2" x14ac:dyDescent="0.3">
      <c r="A51" s="12">
        <v>53</v>
      </c>
      <c r="B51" s="1" t="s">
        <v>83</v>
      </c>
      <c r="C51" s="10" t="s">
        <v>138</v>
      </c>
      <c r="D51" s="12">
        <v>1</v>
      </c>
      <c r="E51" s="10" t="s">
        <v>236</v>
      </c>
      <c r="F51" s="12">
        <v>0</v>
      </c>
      <c r="G51" s="10" t="s">
        <v>329</v>
      </c>
      <c r="H51" s="12">
        <v>0</v>
      </c>
      <c r="I51" s="1">
        <v>1</v>
      </c>
      <c r="J51" s="16"/>
    </row>
    <row r="52" spans="1:10" ht="158.4" x14ac:dyDescent="0.3">
      <c r="A52" s="12">
        <v>54</v>
      </c>
      <c r="B52" s="1" t="s">
        <v>140</v>
      </c>
      <c r="C52" s="10" t="s">
        <v>139</v>
      </c>
      <c r="D52" s="12">
        <v>1</v>
      </c>
      <c r="E52" s="10" t="s">
        <v>237</v>
      </c>
      <c r="F52" s="12">
        <v>0</v>
      </c>
      <c r="G52" s="10" t="s">
        <v>330</v>
      </c>
      <c r="H52" s="12">
        <v>0</v>
      </c>
      <c r="I52" s="1">
        <v>1</v>
      </c>
      <c r="J52" s="16"/>
    </row>
    <row r="53" spans="1:10" ht="316.8" x14ac:dyDescent="0.3">
      <c r="A53" s="12">
        <v>56</v>
      </c>
      <c r="B53" s="1" t="s">
        <v>84</v>
      </c>
      <c r="C53" s="10" t="s">
        <v>141</v>
      </c>
      <c r="D53" s="12">
        <v>0</v>
      </c>
      <c r="E53" s="10" t="s">
        <v>238</v>
      </c>
      <c r="F53" s="12">
        <v>0</v>
      </c>
      <c r="G53" s="10" t="s">
        <v>331</v>
      </c>
      <c r="H53" s="12">
        <v>0</v>
      </c>
      <c r="I53" s="1">
        <v>0</v>
      </c>
      <c r="J53" s="16"/>
    </row>
    <row r="54" spans="1:10" ht="201.6" x14ac:dyDescent="0.3">
      <c r="A54" s="12">
        <v>57</v>
      </c>
      <c r="B54" s="1" t="s">
        <v>85</v>
      </c>
      <c r="C54" s="10" t="s">
        <v>142</v>
      </c>
      <c r="D54" s="12">
        <v>1</v>
      </c>
      <c r="E54" s="10" t="s">
        <v>239</v>
      </c>
      <c r="F54" s="12">
        <v>1</v>
      </c>
      <c r="G54" s="10" t="s">
        <v>332</v>
      </c>
      <c r="H54" s="12">
        <v>1</v>
      </c>
      <c r="I54" s="1">
        <v>1</v>
      </c>
      <c r="J54" s="16"/>
    </row>
    <row r="55" spans="1:10" ht="201.6" x14ac:dyDescent="0.3">
      <c r="A55" s="12">
        <v>58</v>
      </c>
      <c r="B55" s="1" t="s">
        <v>86</v>
      </c>
      <c r="C55" s="10" t="s">
        <v>143</v>
      </c>
      <c r="D55" s="12">
        <v>1</v>
      </c>
      <c r="E55" s="10" t="s">
        <v>240</v>
      </c>
      <c r="F55" s="12">
        <v>1</v>
      </c>
      <c r="G55" s="10" t="s">
        <v>333</v>
      </c>
      <c r="H55" s="12">
        <v>1</v>
      </c>
      <c r="I55" s="1">
        <v>1</v>
      </c>
      <c r="J55" s="16"/>
    </row>
    <row r="56" spans="1:10" ht="216" x14ac:dyDescent="0.3">
      <c r="A56" s="12">
        <v>59</v>
      </c>
      <c r="B56" s="1" t="s">
        <v>87</v>
      </c>
      <c r="C56" s="10" t="s">
        <v>144</v>
      </c>
      <c r="D56" s="12">
        <v>1</v>
      </c>
      <c r="E56" s="10" t="s">
        <v>241</v>
      </c>
      <c r="F56" s="12">
        <v>0</v>
      </c>
      <c r="G56" s="10" t="s">
        <v>334</v>
      </c>
      <c r="H56" s="12">
        <v>0</v>
      </c>
      <c r="I56" s="1">
        <v>1</v>
      </c>
      <c r="J56" s="16"/>
    </row>
    <row r="57" spans="1:10" ht="187.2" x14ac:dyDescent="0.3">
      <c r="A57" s="12">
        <v>60</v>
      </c>
      <c r="B57" s="1" t="s">
        <v>88</v>
      </c>
      <c r="C57" s="10" t="s">
        <v>145</v>
      </c>
      <c r="D57" s="12">
        <v>0</v>
      </c>
      <c r="E57" s="10" t="s">
        <v>242</v>
      </c>
      <c r="F57" s="12">
        <v>0</v>
      </c>
      <c r="G57" s="10" t="s">
        <v>335</v>
      </c>
      <c r="H57" s="12">
        <v>1</v>
      </c>
      <c r="I57" s="1">
        <v>1</v>
      </c>
      <c r="J57" s="16"/>
    </row>
    <row r="58" spans="1:10" ht="230.4" x14ac:dyDescent="0.3">
      <c r="A58" s="12">
        <v>61</v>
      </c>
      <c r="B58" s="1" t="s">
        <v>89</v>
      </c>
      <c r="C58" s="10" t="s">
        <v>146</v>
      </c>
      <c r="D58" s="12">
        <v>1</v>
      </c>
      <c r="E58" s="10" t="s">
        <v>243</v>
      </c>
      <c r="F58" s="12">
        <v>1</v>
      </c>
      <c r="G58" s="10" t="s">
        <v>336</v>
      </c>
      <c r="H58" s="12">
        <v>1</v>
      </c>
      <c r="I58" s="1">
        <v>1</v>
      </c>
      <c r="J58" s="16"/>
    </row>
    <row r="59" spans="1:10" ht="201.6" x14ac:dyDescent="0.3">
      <c r="A59" s="12">
        <v>62</v>
      </c>
      <c r="B59" s="1" t="s">
        <v>90</v>
      </c>
      <c r="C59" s="10" t="s">
        <v>147</v>
      </c>
      <c r="D59" s="12">
        <v>1</v>
      </c>
      <c r="E59" s="10" t="s">
        <v>244</v>
      </c>
      <c r="F59" s="12">
        <v>1</v>
      </c>
      <c r="G59" s="10" t="s">
        <v>337</v>
      </c>
      <c r="H59" s="12">
        <v>1</v>
      </c>
      <c r="I59" s="1">
        <v>1</v>
      </c>
      <c r="J59" s="16"/>
    </row>
    <row r="60" spans="1:10" ht="273.60000000000002" x14ac:dyDescent="0.3">
      <c r="A60" s="12">
        <v>63</v>
      </c>
      <c r="B60" s="1" t="s">
        <v>91</v>
      </c>
      <c r="C60" s="10" t="s">
        <v>148</v>
      </c>
      <c r="D60" s="12">
        <v>1</v>
      </c>
      <c r="E60" s="10" t="s">
        <v>245</v>
      </c>
      <c r="F60" s="12">
        <v>1</v>
      </c>
      <c r="G60" s="10" t="s">
        <v>338</v>
      </c>
      <c r="H60" s="12">
        <v>1</v>
      </c>
      <c r="I60" s="1">
        <v>1</v>
      </c>
      <c r="J60" s="16"/>
    </row>
    <row r="61" spans="1:10" ht="345.6" x14ac:dyDescent="0.3">
      <c r="A61" s="12">
        <v>64</v>
      </c>
      <c r="B61" s="1" t="s">
        <v>92</v>
      </c>
      <c r="C61" s="10" t="s">
        <v>149</v>
      </c>
      <c r="D61" s="12">
        <v>1</v>
      </c>
      <c r="E61" s="10" t="s">
        <v>246</v>
      </c>
      <c r="F61" s="12">
        <v>1</v>
      </c>
      <c r="G61" s="10" t="s">
        <v>339</v>
      </c>
      <c r="H61" s="12">
        <v>1</v>
      </c>
      <c r="I61" s="1">
        <v>1</v>
      </c>
      <c r="J61" s="16"/>
    </row>
    <row r="62" spans="1:10" ht="201.6" x14ac:dyDescent="0.3">
      <c r="A62" s="12">
        <v>65</v>
      </c>
      <c r="B62" s="1" t="s">
        <v>93</v>
      </c>
      <c r="C62" s="10" t="s">
        <v>150</v>
      </c>
      <c r="D62" s="12">
        <v>1</v>
      </c>
      <c r="E62" s="10" t="s">
        <v>247</v>
      </c>
      <c r="F62" s="12">
        <v>1</v>
      </c>
      <c r="G62" s="10" t="s">
        <v>340</v>
      </c>
      <c r="H62" s="12">
        <v>1</v>
      </c>
      <c r="I62" s="1">
        <v>1</v>
      </c>
      <c r="J62" s="16"/>
    </row>
    <row r="63" spans="1:10" ht="230.4" x14ac:dyDescent="0.3">
      <c r="A63" s="12">
        <v>66</v>
      </c>
      <c r="B63" s="1" t="s">
        <v>94</v>
      </c>
      <c r="C63" s="10" t="s">
        <v>151</v>
      </c>
      <c r="D63" s="12">
        <v>0</v>
      </c>
      <c r="E63" s="10" t="s">
        <v>248</v>
      </c>
      <c r="F63" s="12">
        <v>0</v>
      </c>
      <c r="G63" s="10" t="s">
        <v>341</v>
      </c>
      <c r="H63" s="12">
        <v>0</v>
      </c>
      <c r="I63" s="1">
        <v>0</v>
      </c>
      <c r="J63" s="16"/>
    </row>
    <row r="64" spans="1:10" ht="273.60000000000002" x14ac:dyDescent="0.3">
      <c r="A64" s="12">
        <v>67</v>
      </c>
      <c r="B64" s="1" t="s">
        <v>95</v>
      </c>
      <c r="C64" s="10" t="s">
        <v>153</v>
      </c>
      <c r="D64" s="12">
        <v>1</v>
      </c>
      <c r="E64" s="10" t="s">
        <v>249</v>
      </c>
      <c r="F64" s="12">
        <v>1</v>
      </c>
      <c r="G64" s="10" t="s">
        <v>342</v>
      </c>
      <c r="H64" s="12">
        <v>1</v>
      </c>
      <c r="I64" s="1">
        <v>1</v>
      </c>
      <c r="J64" s="16"/>
    </row>
    <row r="65" spans="1:10" ht="230.4" x14ac:dyDescent="0.3">
      <c r="A65" s="12">
        <v>69</v>
      </c>
      <c r="B65" s="1" t="s">
        <v>96</v>
      </c>
      <c r="C65" s="10" t="s">
        <v>152</v>
      </c>
      <c r="D65" s="12">
        <v>1</v>
      </c>
      <c r="E65" s="10" t="s">
        <v>250</v>
      </c>
      <c r="F65" s="12">
        <v>0</v>
      </c>
      <c r="G65" s="10" t="s">
        <v>343</v>
      </c>
      <c r="H65" s="12">
        <v>0</v>
      </c>
      <c r="I65" s="1">
        <v>1</v>
      </c>
      <c r="J65" s="16"/>
    </row>
    <row r="66" spans="1:10" ht="158.4" x14ac:dyDescent="0.3">
      <c r="A66" s="12">
        <v>70</v>
      </c>
      <c r="B66" s="1" t="s">
        <v>93</v>
      </c>
      <c r="C66" s="10" t="s">
        <v>154</v>
      </c>
      <c r="D66" s="12">
        <v>1</v>
      </c>
      <c r="E66" s="10" t="s">
        <v>251</v>
      </c>
      <c r="F66" s="12">
        <v>1</v>
      </c>
      <c r="G66" s="10" t="s">
        <v>344</v>
      </c>
      <c r="H66" s="12">
        <v>1</v>
      </c>
      <c r="I66" s="1">
        <v>1</v>
      </c>
      <c r="J66" s="16"/>
    </row>
    <row r="67" spans="1:10" ht="230.4" x14ac:dyDescent="0.3">
      <c r="A67" s="12">
        <v>71</v>
      </c>
      <c r="B67" s="1" t="s">
        <v>97</v>
      </c>
      <c r="C67" s="10" t="s">
        <v>155</v>
      </c>
      <c r="D67" s="12">
        <v>0</v>
      </c>
      <c r="E67" s="10" t="s">
        <v>252</v>
      </c>
      <c r="F67" s="12">
        <v>0</v>
      </c>
      <c r="G67" s="10" t="s">
        <v>345</v>
      </c>
      <c r="H67" s="12">
        <v>0</v>
      </c>
      <c r="I67" s="1">
        <v>0</v>
      </c>
      <c r="J67" s="16"/>
    </row>
    <row r="68" spans="1:10" ht="115.2" x14ac:dyDescent="0.3">
      <c r="A68" s="12">
        <v>73</v>
      </c>
      <c r="B68" s="1" t="s">
        <v>63</v>
      </c>
      <c r="C68" s="10" t="s">
        <v>156</v>
      </c>
      <c r="D68" s="12">
        <v>1</v>
      </c>
      <c r="E68" s="10" t="s">
        <v>253</v>
      </c>
      <c r="F68" s="12">
        <v>1</v>
      </c>
      <c r="G68" s="10" t="s">
        <v>346</v>
      </c>
      <c r="H68" s="12">
        <v>1</v>
      </c>
      <c r="I68" s="1">
        <v>1</v>
      </c>
      <c r="J68" s="16"/>
    </row>
    <row r="69" spans="1:10" ht="288" x14ac:dyDescent="0.3">
      <c r="A69" s="12">
        <v>74</v>
      </c>
      <c r="B69" s="1" t="s">
        <v>98</v>
      </c>
      <c r="C69" s="10" t="s">
        <v>157</v>
      </c>
      <c r="D69" s="12">
        <v>1</v>
      </c>
      <c r="E69" s="10" t="s">
        <v>254</v>
      </c>
      <c r="F69" s="12">
        <v>1</v>
      </c>
      <c r="G69" s="10" t="s">
        <v>347</v>
      </c>
      <c r="H69" s="12">
        <v>1</v>
      </c>
      <c r="I69" s="1">
        <v>1</v>
      </c>
      <c r="J69" s="16"/>
    </row>
    <row r="70" spans="1:10" ht="172.8" x14ac:dyDescent="0.3">
      <c r="A70" s="12">
        <v>75</v>
      </c>
      <c r="B70" s="1" t="s">
        <v>99</v>
      </c>
      <c r="C70" s="10" t="s">
        <v>158</v>
      </c>
      <c r="D70" s="12">
        <v>1</v>
      </c>
      <c r="E70" s="10" t="s">
        <v>255</v>
      </c>
      <c r="F70" s="12">
        <v>1</v>
      </c>
      <c r="G70" s="10" t="s">
        <v>348</v>
      </c>
      <c r="H70" s="12">
        <v>1</v>
      </c>
      <c r="I70" s="1">
        <v>1</v>
      </c>
      <c r="J70" s="16"/>
    </row>
    <row r="71" spans="1:10" ht="158.4" x14ac:dyDescent="0.3">
      <c r="A71" s="12">
        <v>76</v>
      </c>
      <c r="B71" s="1" t="s">
        <v>1</v>
      </c>
      <c r="C71" s="10" t="s">
        <v>159</v>
      </c>
      <c r="D71" s="12">
        <v>1</v>
      </c>
      <c r="E71" s="10" t="s">
        <v>256</v>
      </c>
      <c r="F71" s="12">
        <v>1</v>
      </c>
      <c r="G71" s="10" t="s">
        <v>349</v>
      </c>
      <c r="H71" s="12">
        <v>0</v>
      </c>
      <c r="I71" s="1">
        <v>1</v>
      </c>
      <c r="J71" s="16"/>
    </row>
    <row r="72" spans="1:10" ht="115.2" x14ac:dyDescent="0.3">
      <c r="A72" s="12">
        <v>77</v>
      </c>
      <c r="B72" s="1" t="s">
        <v>100</v>
      </c>
      <c r="C72" s="10" t="s">
        <v>160</v>
      </c>
      <c r="D72" s="12">
        <v>0</v>
      </c>
      <c r="E72" s="10" t="s">
        <v>257</v>
      </c>
      <c r="F72" s="12">
        <v>0</v>
      </c>
      <c r="G72" s="10" t="s">
        <v>350</v>
      </c>
      <c r="H72" s="12">
        <v>0</v>
      </c>
      <c r="I72" s="1">
        <v>0</v>
      </c>
      <c r="J72" s="16"/>
    </row>
    <row r="73" spans="1:10" ht="172.8" x14ac:dyDescent="0.3">
      <c r="A73" s="12">
        <v>78</v>
      </c>
      <c r="B73" s="1" t="s">
        <v>101</v>
      </c>
      <c r="C73" s="10" t="s">
        <v>161</v>
      </c>
      <c r="D73" s="12">
        <v>0</v>
      </c>
      <c r="E73" s="10" t="s">
        <v>258</v>
      </c>
      <c r="F73" s="12">
        <v>0</v>
      </c>
      <c r="G73" s="10" t="s">
        <v>351</v>
      </c>
      <c r="H73" s="12">
        <v>0</v>
      </c>
      <c r="I73" s="1">
        <v>0</v>
      </c>
      <c r="J73" s="16"/>
    </row>
    <row r="74" spans="1:10" ht="129.6" x14ac:dyDescent="0.3">
      <c r="A74" s="12">
        <v>79</v>
      </c>
      <c r="B74" s="1" t="s">
        <v>102</v>
      </c>
      <c r="C74" s="10" t="s">
        <v>162</v>
      </c>
      <c r="D74" s="12">
        <v>0</v>
      </c>
      <c r="E74" s="10" t="s">
        <v>259</v>
      </c>
      <c r="F74" s="12">
        <v>0</v>
      </c>
      <c r="G74" s="10" t="s">
        <v>352</v>
      </c>
      <c r="H74" s="12">
        <v>0</v>
      </c>
      <c r="I74" s="1">
        <v>0</v>
      </c>
      <c r="J74" s="16"/>
    </row>
    <row r="75" spans="1:10" ht="129.6" x14ac:dyDescent="0.3">
      <c r="A75" s="12">
        <v>80</v>
      </c>
      <c r="B75" s="1" t="s">
        <v>37</v>
      </c>
      <c r="C75" s="10" t="s">
        <v>163</v>
      </c>
      <c r="D75" s="12">
        <v>0</v>
      </c>
      <c r="E75" s="10" t="s">
        <v>260</v>
      </c>
      <c r="F75" s="12">
        <v>0</v>
      </c>
      <c r="G75" s="10" t="s">
        <v>353</v>
      </c>
      <c r="H75" s="12">
        <v>0</v>
      </c>
      <c r="I75" s="1">
        <v>0</v>
      </c>
      <c r="J75" s="16"/>
    </row>
    <row r="76" spans="1:10" ht="201.6" x14ac:dyDescent="0.3">
      <c r="A76" s="12">
        <v>81</v>
      </c>
      <c r="B76" s="1" t="s">
        <v>103</v>
      </c>
      <c r="C76" s="10" t="s">
        <v>164</v>
      </c>
      <c r="D76" s="12">
        <v>1</v>
      </c>
      <c r="E76" s="10" t="s">
        <v>273</v>
      </c>
      <c r="F76" s="12">
        <v>1</v>
      </c>
      <c r="G76" s="10" t="s">
        <v>354</v>
      </c>
      <c r="H76" s="12">
        <v>1</v>
      </c>
      <c r="I76" s="1">
        <v>1</v>
      </c>
      <c r="J76" s="16"/>
    </row>
    <row r="77" spans="1:10" ht="259.2" x14ac:dyDescent="0.3">
      <c r="A77" s="12">
        <v>82</v>
      </c>
      <c r="B77" s="1" t="s">
        <v>104</v>
      </c>
      <c r="C77" s="10" t="s">
        <v>165</v>
      </c>
      <c r="D77" s="12">
        <v>0</v>
      </c>
      <c r="E77" s="10" t="s">
        <v>261</v>
      </c>
      <c r="F77" s="12">
        <v>0</v>
      </c>
      <c r="G77" s="10" t="s">
        <v>355</v>
      </c>
      <c r="H77" s="12">
        <v>0</v>
      </c>
      <c r="I77" s="1">
        <v>0</v>
      </c>
      <c r="J77" s="16"/>
    </row>
    <row r="78" spans="1:10" ht="273.60000000000002" x14ac:dyDescent="0.3">
      <c r="A78" s="12">
        <v>83</v>
      </c>
      <c r="B78" s="1" t="s">
        <v>105</v>
      </c>
      <c r="C78" s="10" t="s">
        <v>166</v>
      </c>
      <c r="D78" s="12">
        <v>0</v>
      </c>
      <c r="E78" s="10" t="s">
        <v>262</v>
      </c>
      <c r="F78" s="12">
        <v>0</v>
      </c>
      <c r="G78" s="10" t="s">
        <v>356</v>
      </c>
      <c r="H78" s="12">
        <v>0</v>
      </c>
      <c r="I78" s="1">
        <v>0</v>
      </c>
      <c r="J78" s="16"/>
    </row>
    <row r="79" spans="1:10" ht="129.6" x14ac:dyDescent="0.3">
      <c r="A79" s="12">
        <v>84</v>
      </c>
      <c r="B79" s="1" t="s">
        <v>106</v>
      </c>
      <c r="C79" s="10" t="s">
        <v>167</v>
      </c>
      <c r="D79" s="12">
        <v>1</v>
      </c>
      <c r="E79" s="10" t="s">
        <v>263</v>
      </c>
      <c r="F79" s="12">
        <v>1</v>
      </c>
      <c r="G79" s="10" t="s">
        <v>357</v>
      </c>
      <c r="H79" s="12">
        <v>1</v>
      </c>
      <c r="I79" s="1">
        <v>1</v>
      </c>
      <c r="J79" s="16"/>
    </row>
    <row r="80" spans="1:10" ht="244.8" x14ac:dyDescent="0.3">
      <c r="A80" s="12">
        <v>85</v>
      </c>
      <c r="B80" s="1" t="s">
        <v>107</v>
      </c>
      <c r="C80" s="10" t="s">
        <v>168</v>
      </c>
      <c r="D80" s="12">
        <v>1</v>
      </c>
      <c r="E80" s="10" t="s">
        <v>264</v>
      </c>
      <c r="F80" s="12">
        <v>1</v>
      </c>
      <c r="G80" s="10" t="s">
        <v>358</v>
      </c>
      <c r="H80" s="12">
        <v>1</v>
      </c>
      <c r="I80" s="1">
        <v>1</v>
      </c>
      <c r="J80" s="16"/>
    </row>
    <row r="81" spans="1:10" ht="158.4" x14ac:dyDescent="0.3">
      <c r="A81" s="12">
        <v>86</v>
      </c>
      <c r="B81" s="1" t="s">
        <v>108</v>
      </c>
      <c r="C81" s="10" t="s">
        <v>169</v>
      </c>
      <c r="D81" s="12">
        <v>1</v>
      </c>
      <c r="E81" s="10" t="s">
        <v>265</v>
      </c>
      <c r="F81" s="12">
        <v>0</v>
      </c>
      <c r="G81" s="10" t="s">
        <v>359</v>
      </c>
      <c r="H81" s="12">
        <v>0</v>
      </c>
      <c r="I81" s="1">
        <v>1</v>
      </c>
      <c r="J81" s="16"/>
    </row>
    <row r="82" spans="1:10" ht="244.8" x14ac:dyDescent="0.3">
      <c r="A82" s="12">
        <v>87</v>
      </c>
      <c r="B82" s="1" t="s">
        <v>109</v>
      </c>
      <c r="C82" s="10" t="s">
        <v>170</v>
      </c>
      <c r="D82" s="12">
        <v>1</v>
      </c>
      <c r="E82" s="10" t="s">
        <v>266</v>
      </c>
      <c r="F82" s="12">
        <v>1</v>
      </c>
      <c r="G82" s="10" t="s">
        <v>360</v>
      </c>
      <c r="H82" s="12">
        <v>0</v>
      </c>
      <c r="I82" s="1">
        <v>1</v>
      </c>
      <c r="J82" s="16"/>
    </row>
    <row r="83" spans="1:10" ht="273.60000000000002" x14ac:dyDescent="0.3">
      <c r="A83" s="12">
        <v>88</v>
      </c>
      <c r="B83" s="1" t="s">
        <v>110</v>
      </c>
      <c r="C83" s="10" t="s">
        <v>171</v>
      </c>
      <c r="D83" s="12">
        <v>0</v>
      </c>
      <c r="E83" s="10" t="s">
        <v>267</v>
      </c>
      <c r="F83" s="12">
        <v>0</v>
      </c>
      <c r="G83" s="10" t="s">
        <v>361</v>
      </c>
      <c r="H83" s="12">
        <v>0</v>
      </c>
      <c r="I83" s="1">
        <v>0</v>
      </c>
      <c r="J83" s="16"/>
    </row>
    <row r="84" spans="1:10" ht="187.2" x14ac:dyDescent="0.3">
      <c r="A84" s="12">
        <v>89</v>
      </c>
      <c r="B84" s="1" t="s">
        <v>111</v>
      </c>
      <c r="C84" s="10" t="s">
        <v>172</v>
      </c>
      <c r="D84" s="12">
        <v>0</v>
      </c>
      <c r="E84" s="10" t="s">
        <v>268</v>
      </c>
      <c r="F84" s="12">
        <v>0</v>
      </c>
      <c r="G84" s="10" t="s">
        <v>362</v>
      </c>
      <c r="H84" s="12">
        <v>0</v>
      </c>
      <c r="I84" s="1">
        <v>1</v>
      </c>
      <c r="J84" s="16"/>
    </row>
    <row r="85" spans="1:10" ht="201.6" x14ac:dyDescent="0.3">
      <c r="A85" s="12">
        <v>90</v>
      </c>
      <c r="B85" s="1" t="s">
        <v>54</v>
      </c>
      <c r="C85" s="10" t="s">
        <v>173</v>
      </c>
      <c r="D85" s="12">
        <v>1</v>
      </c>
      <c r="E85" s="10" t="s">
        <v>269</v>
      </c>
      <c r="F85" s="12">
        <v>1</v>
      </c>
      <c r="G85" s="10" t="s">
        <v>363</v>
      </c>
      <c r="H85" s="12">
        <v>1</v>
      </c>
      <c r="I85" s="1">
        <v>1</v>
      </c>
      <c r="J85" s="16"/>
    </row>
    <row r="86" spans="1:10" ht="172.8" x14ac:dyDescent="0.3">
      <c r="A86" s="12">
        <v>91</v>
      </c>
      <c r="B86" s="1" t="s">
        <v>53</v>
      </c>
      <c r="C86" s="10" t="s">
        <v>174</v>
      </c>
      <c r="D86" s="12">
        <v>1</v>
      </c>
      <c r="E86" s="10" t="s">
        <v>270</v>
      </c>
      <c r="F86" s="12">
        <v>0</v>
      </c>
      <c r="G86" s="10" t="s">
        <v>364</v>
      </c>
      <c r="H86" s="12">
        <v>0</v>
      </c>
      <c r="I86" s="1">
        <v>1</v>
      </c>
      <c r="J86" s="16"/>
    </row>
    <row r="87" spans="1:10" ht="129.6" x14ac:dyDescent="0.3">
      <c r="A87" s="12">
        <v>92</v>
      </c>
      <c r="B87" s="1" t="s">
        <v>52</v>
      </c>
      <c r="C87" s="10" t="s">
        <v>175</v>
      </c>
      <c r="D87" s="12">
        <v>0</v>
      </c>
      <c r="E87" s="10" t="s">
        <v>271</v>
      </c>
      <c r="F87" s="12">
        <v>0</v>
      </c>
      <c r="G87" s="10" t="s">
        <v>365</v>
      </c>
      <c r="H87" s="12">
        <v>0</v>
      </c>
      <c r="I87" s="1">
        <v>0</v>
      </c>
      <c r="J87" s="16"/>
    </row>
    <row r="88" spans="1:10" ht="288" x14ac:dyDescent="0.3">
      <c r="A88" s="12">
        <v>93</v>
      </c>
      <c r="B88" s="1" t="s">
        <v>51</v>
      </c>
      <c r="C88" s="10" t="s">
        <v>176</v>
      </c>
      <c r="D88" s="12">
        <v>1</v>
      </c>
      <c r="E88" s="10" t="s">
        <v>272</v>
      </c>
      <c r="F88" s="12">
        <v>0</v>
      </c>
      <c r="G88" s="10" t="s">
        <v>366</v>
      </c>
      <c r="H88" s="12">
        <v>0</v>
      </c>
      <c r="I88" s="1">
        <v>1</v>
      </c>
      <c r="J88" s="16"/>
    </row>
    <row r="89" spans="1:10" ht="144" x14ac:dyDescent="0.3">
      <c r="A89" s="12">
        <v>94</v>
      </c>
      <c r="B89" s="1" t="s">
        <v>50</v>
      </c>
      <c r="C89" s="10" t="s">
        <v>177</v>
      </c>
      <c r="D89" s="12">
        <v>0</v>
      </c>
      <c r="E89" s="10" t="s">
        <v>274</v>
      </c>
      <c r="F89" s="12">
        <v>0</v>
      </c>
      <c r="G89" s="10" t="s">
        <v>367</v>
      </c>
      <c r="H89" s="12">
        <v>0</v>
      </c>
      <c r="I89" s="1">
        <v>0</v>
      </c>
      <c r="J89" s="16"/>
    </row>
    <row r="90" spans="1:10" ht="216" x14ac:dyDescent="0.3">
      <c r="A90" s="12">
        <v>95</v>
      </c>
      <c r="B90" s="1" t="s">
        <v>49</v>
      </c>
      <c r="C90" s="10" t="s">
        <v>178</v>
      </c>
      <c r="D90" s="12">
        <v>0</v>
      </c>
      <c r="E90" s="10" t="s">
        <v>275</v>
      </c>
      <c r="F90" s="12">
        <v>0</v>
      </c>
      <c r="G90" s="10" t="s">
        <v>368</v>
      </c>
      <c r="H90" s="12">
        <v>0</v>
      </c>
      <c r="I90" s="1">
        <v>0</v>
      </c>
      <c r="J90" s="16"/>
    </row>
    <row r="91" spans="1:10" ht="230.4" x14ac:dyDescent="0.3">
      <c r="A91" s="12">
        <v>96</v>
      </c>
      <c r="B91" s="1" t="s">
        <v>48</v>
      </c>
      <c r="C91" s="10" t="s">
        <v>179</v>
      </c>
      <c r="D91" s="12">
        <v>1</v>
      </c>
      <c r="E91" s="10" t="s">
        <v>276</v>
      </c>
      <c r="F91" s="12">
        <v>1</v>
      </c>
      <c r="G91" s="10" t="s">
        <v>369</v>
      </c>
      <c r="H91" s="12">
        <v>0</v>
      </c>
      <c r="I91" s="1">
        <v>1</v>
      </c>
      <c r="J91" s="16"/>
    </row>
    <row r="92" spans="1:10" ht="403.2" x14ac:dyDescent="0.3">
      <c r="A92" s="12">
        <v>97</v>
      </c>
      <c r="B92" s="1" t="s">
        <v>47</v>
      </c>
      <c r="C92" s="10" t="s">
        <v>180</v>
      </c>
      <c r="D92" s="12">
        <v>0</v>
      </c>
      <c r="E92" s="10" t="s">
        <v>277</v>
      </c>
      <c r="F92" s="12">
        <v>1</v>
      </c>
      <c r="G92" s="10" t="s">
        <v>370</v>
      </c>
      <c r="H92" s="12">
        <v>0</v>
      </c>
      <c r="I92" s="1">
        <v>1</v>
      </c>
      <c r="J92" s="16"/>
    </row>
    <row r="93" spans="1:10" ht="100.8" x14ac:dyDescent="0.3">
      <c r="A93" s="12">
        <v>98</v>
      </c>
      <c r="B93" s="1" t="s">
        <v>46</v>
      </c>
      <c r="C93" s="10" t="s">
        <v>181</v>
      </c>
      <c r="D93" s="12">
        <v>0</v>
      </c>
      <c r="E93" s="10" t="s">
        <v>278</v>
      </c>
      <c r="F93" s="12">
        <v>1</v>
      </c>
      <c r="G93" s="10" t="s">
        <v>371</v>
      </c>
      <c r="H93" s="12">
        <v>0</v>
      </c>
      <c r="I93" s="1">
        <v>1</v>
      </c>
      <c r="J93" s="16"/>
    </row>
    <row r="94" spans="1:10" ht="201.6" x14ac:dyDescent="0.3">
      <c r="A94" s="12">
        <v>99</v>
      </c>
      <c r="B94" s="1" t="s">
        <v>45</v>
      </c>
      <c r="C94" s="10" t="s">
        <v>182</v>
      </c>
      <c r="D94" s="12">
        <v>0</v>
      </c>
      <c r="E94" s="10" t="s">
        <v>279</v>
      </c>
      <c r="F94" s="12">
        <v>0</v>
      </c>
      <c r="G94" s="10" t="s">
        <v>372</v>
      </c>
      <c r="H94" s="12">
        <v>0</v>
      </c>
      <c r="I94" s="1">
        <v>0</v>
      </c>
      <c r="J94" s="16"/>
    </row>
    <row r="95" spans="1:10" ht="129.6" x14ac:dyDescent="0.3">
      <c r="A95" s="12">
        <v>100</v>
      </c>
      <c r="B95" s="1" t="s">
        <v>34</v>
      </c>
      <c r="C95" s="10" t="s">
        <v>183</v>
      </c>
      <c r="D95" s="12">
        <v>1</v>
      </c>
      <c r="E95" s="10" t="s">
        <v>280</v>
      </c>
      <c r="F95" s="12">
        <v>1</v>
      </c>
      <c r="G95" s="10" t="s">
        <v>373</v>
      </c>
      <c r="H95" s="12">
        <v>1</v>
      </c>
      <c r="I95" s="1">
        <v>1</v>
      </c>
      <c r="J95" s="16"/>
    </row>
    <row r="96" spans="1:10" x14ac:dyDescent="0.3">
      <c r="A96" s="12" t="s">
        <v>42</v>
      </c>
      <c r="B96" s="1"/>
      <c r="C96" s="13" t="s">
        <v>44</v>
      </c>
      <c r="D96" s="13" t="s">
        <v>43</v>
      </c>
      <c r="E96" s="24" t="s">
        <v>44</v>
      </c>
      <c r="F96" s="13" t="s">
        <v>43</v>
      </c>
      <c r="G96" s="27" t="s">
        <v>44</v>
      </c>
      <c r="H96" s="13" t="s">
        <v>43</v>
      </c>
      <c r="I96" s="27" t="s">
        <v>44</v>
      </c>
      <c r="J96" s="26" t="s">
        <v>384</v>
      </c>
    </row>
    <row r="97" spans="1:10" x14ac:dyDescent="0.3">
      <c r="A97" s="12">
        <f>COUNT(A3:A95)</f>
        <v>93</v>
      </c>
      <c r="B97" s="1"/>
      <c r="C97" s="14">
        <v>0.5268817204301075</v>
      </c>
      <c r="D97" s="12">
        <v>49</v>
      </c>
      <c r="E97" s="15">
        <v>0.43010752688172044</v>
      </c>
      <c r="F97" s="12">
        <v>40</v>
      </c>
      <c r="G97" s="15">
        <v>0.38709677419354838</v>
      </c>
      <c r="H97" s="12">
        <v>36</v>
      </c>
      <c r="I97" s="23">
        <f>J97/A97</f>
        <v>0.63440860215053763</v>
      </c>
      <c r="J97" s="16">
        <f>SUM(I3:I95)</f>
        <v>59</v>
      </c>
    </row>
    <row r="98" spans="1:10" x14ac:dyDescent="0.3">
      <c r="A98" s="2"/>
      <c r="B98" s="5"/>
      <c r="D98" s="2"/>
      <c r="F98" s="2"/>
      <c r="H98" s="2"/>
      <c r="I98" s="25"/>
    </row>
    <row r="101" spans="1:10" x14ac:dyDescent="0.3">
      <c r="D101" s="1"/>
      <c r="E101" s="18" t="s">
        <v>185</v>
      </c>
      <c r="F101" s="19" t="s">
        <v>186</v>
      </c>
      <c r="G101" s="18" t="s">
        <v>193</v>
      </c>
      <c r="H101" s="19" t="s">
        <v>376</v>
      </c>
    </row>
    <row r="102" spans="1:10" x14ac:dyDescent="0.3">
      <c r="D102" s="13" t="s">
        <v>44</v>
      </c>
      <c r="E102" s="28">
        <f>C97</f>
        <v>0.5268817204301075</v>
      </c>
      <c r="F102" s="14">
        <f>E97</f>
        <v>0.43010752688172044</v>
      </c>
      <c r="G102" s="28">
        <f>G97</f>
        <v>0.38709677419354838</v>
      </c>
      <c r="H102" s="14">
        <f>I97</f>
        <v>0.63440860215053763</v>
      </c>
    </row>
    <row r="104" spans="1:10" x14ac:dyDescent="0.3">
      <c r="E104" s="35">
        <f>H102-E102</f>
        <v>0.10752688172043012</v>
      </c>
      <c r="F104" s="35">
        <f>H102-F102</f>
        <v>0.20430107526881719</v>
      </c>
      <c r="G104" s="35">
        <f>H102-G102</f>
        <v>0.24731182795698925</v>
      </c>
      <c r="H104" s="35">
        <f>AVERAGE(E104:G104)</f>
        <v>0.18637992831541217</v>
      </c>
    </row>
  </sheetData>
  <mergeCells count="3">
    <mergeCell ref="C1:D1"/>
    <mergeCell ref="E1:F1"/>
    <mergeCell ref="G1:H1"/>
  </mergeCells>
  <conditionalFormatting sqref="I4:I5">
    <cfRule type="cellIs" dxfId="1" priority="2" operator="greaterThan">
      <formula>0</formula>
    </cfRule>
  </conditionalFormatting>
  <conditionalFormatting sqref="I8:I9">
    <cfRule type="cellIs" dxfId="0" priority="1" operator="greaterThan">
      <formula>0</formula>
    </cfRule>
  </conditionalFormatting>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286F0-52B1-4141-AA96-17A1D6AA6AAE}">
  <dimension ref="A1:O108"/>
  <sheetViews>
    <sheetView zoomScale="89" workbookViewId="0">
      <pane ySplit="2" topLeftCell="A92" activePane="bottomLeft" state="frozen"/>
      <selection pane="bottomLeft" activeCell="D97" sqref="D97"/>
    </sheetView>
  </sheetViews>
  <sheetFormatPr defaultRowHeight="14.4" x14ac:dyDescent="0.3"/>
  <cols>
    <col min="1" max="1" width="10.21875" style="2" bestFit="1" customWidth="1"/>
    <col min="2" max="2" width="25.109375" style="5" customWidth="1"/>
    <col min="3" max="3" width="24.6640625" style="4" bestFit="1" customWidth="1"/>
    <col min="4" max="4" width="16.33203125" style="7" bestFit="1" customWidth="1"/>
    <col min="5" max="5" width="20.109375" style="4" bestFit="1" customWidth="1"/>
    <col min="6" max="6" width="16.33203125" style="7" bestFit="1" customWidth="1"/>
    <col min="7" max="7" width="16.109375" bestFit="1" customWidth="1"/>
    <col min="8" max="8" width="16.33203125" style="8" bestFit="1" customWidth="1"/>
    <col min="9" max="9" width="33.77734375" style="7" bestFit="1" customWidth="1"/>
  </cols>
  <sheetData>
    <row r="1" spans="1:15" x14ac:dyDescent="0.3">
      <c r="A1" s="16"/>
      <c r="B1" s="16"/>
      <c r="C1" s="29" t="s">
        <v>185</v>
      </c>
      <c r="D1" s="29"/>
      <c r="E1" s="29" t="s">
        <v>186</v>
      </c>
      <c r="F1" s="29"/>
      <c r="G1" s="29" t="s">
        <v>193</v>
      </c>
      <c r="H1" s="29"/>
      <c r="I1" s="11"/>
      <c r="J1" s="16"/>
    </row>
    <row r="2" spans="1:15" s="3" customFormat="1" x14ac:dyDescent="0.3">
      <c r="A2" s="13" t="s">
        <v>0</v>
      </c>
      <c r="B2" s="18" t="s">
        <v>383</v>
      </c>
      <c r="C2" s="18" t="s">
        <v>380</v>
      </c>
      <c r="D2" s="13" t="s">
        <v>379</v>
      </c>
      <c r="E2" s="18" t="s">
        <v>380</v>
      </c>
      <c r="F2" s="13" t="s">
        <v>379</v>
      </c>
      <c r="G2" s="18" t="s">
        <v>380</v>
      </c>
      <c r="H2" s="13" t="s">
        <v>379</v>
      </c>
      <c r="I2" s="19" t="s">
        <v>382</v>
      </c>
      <c r="J2" s="13"/>
    </row>
    <row r="3" spans="1:15" ht="135" customHeight="1" x14ac:dyDescent="0.3">
      <c r="A3" s="12">
        <v>2</v>
      </c>
      <c r="B3" s="1" t="s">
        <v>1</v>
      </c>
      <c r="C3" s="20" t="s">
        <v>12</v>
      </c>
      <c r="D3" s="11">
        <v>1</v>
      </c>
      <c r="E3" s="10" t="s">
        <v>187</v>
      </c>
      <c r="F3" s="11">
        <v>1</v>
      </c>
      <c r="G3" s="10" t="s">
        <v>281</v>
      </c>
      <c r="H3" s="11">
        <v>1</v>
      </c>
      <c r="I3" s="11">
        <v>1</v>
      </c>
      <c r="J3" s="21"/>
      <c r="K3" s="6"/>
      <c r="L3" s="6"/>
      <c r="M3" s="6"/>
      <c r="N3" s="6"/>
      <c r="O3" s="6"/>
    </row>
    <row r="4" spans="1:15" ht="158.4" x14ac:dyDescent="0.3">
      <c r="A4" s="12">
        <v>3</v>
      </c>
      <c r="B4" s="1" t="s">
        <v>32</v>
      </c>
      <c r="C4" s="10" t="s">
        <v>13</v>
      </c>
      <c r="D4" s="11">
        <f>1/5</f>
        <v>0.2</v>
      </c>
      <c r="E4" s="10" t="s">
        <v>188</v>
      </c>
      <c r="F4" s="11">
        <f>2/5</f>
        <v>0.4</v>
      </c>
      <c r="G4" s="10" t="s">
        <v>282</v>
      </c>
      <c r="H4" s="11">
        <f>2/5</f>
        <v>0.4</v>
      </c>
      <c r="I4" s="11">
        <v>0.6</v>
      </c>
      <c r="J4" s="21"/>
      <c r="K4" s="6"/>
      <c r="L4" s="6"/>
      <c r="M4" s="6"/>
      <c r="N4" s="6"/>
      <c r="O4" s="6"/>
    </row>
    <row r="5" spans="1:15" ht="144" x14ac:dyDescent="0.3">
      <c r="A5" s="12">
        <v>4</v>
      </c>
      <c r="B5" s="1" t="s">
        <v>33</v>
      </c>
      <c r="C5" s="10" t="s">
        <v>14</v>
      </c>
      <c r="D5" s="11">
        <f>2/5</f>
        <v>0.4</v>
      </c>
      <c r="E5" s="10" t="s">
        <v>189</v>
      </c>
      <c r="F5" s="11">
        <f>1/5</f>
        <v>0.2</v>
      </c>
      <c r="G5" s="10" t="s">
        <v>283</v>
      </c>
      <c r="H5" s="11">
        <f>1/5</f>
        <v>0.2</v>
      </c>
      <c r="I5" s="11">
        <v>0.4</v>
      </c>
      <c r="J5" s="21"/>
      <c r="K5" s="6"/>
      <c r="L5" s="6"/>
      <c r="M5" s="6"/>
      <c r="N5" s="6"/>
      <c r="O5" s="6"/>
    </row>
    <row r="6" spans="1:15" ht="172.8" x14ac:dyDescent="0.3">
      <c r="A6" s="12">
        <v>5</v>
      </c>
      <c r="B6" s="1" t="s">
        <v>34</v>
      </c>
      <c r="C6" s="10" t="s">
        <v>15</v>
      </c>
      <c r="D6" s="11">
        <v>1</v>
      </c>
      <c r="E6" s="10" t="s">
        <v>190</v>
      </c>
      <c r="F6" s="11">
        <v>1</v>
      </c>
      <c r="G6" s="10" t="s">
        <v>284</v>
      </c>
      <c r="H6" s="11">
        <v>1</v>
      </c>
      <c r="I6" s="11">
        <v>1</v>
      </c>
      <c r="J6" s="21"/>
      <c r="K6" s="6"/>
      <c r="L6" s="6"/>
      <c r="M6" s="6"/>
      <c r="N6" s="6"/>
      <c r="O6" s="6"/>
    </row>
    <row r="7" spans="1:15" ht="144" x14ac:dyDescent="0.3">
      <c r="A7" s="12">
        <v>6</v>
      </c>
      <c r="B7" s="1" t="s">
        <v>3</v>
      </c>
      <c r="C7" s="10" t="s">
        <v>16</v>
      </c>
      <c r="D7" s="11">
        <v>1</v>
      </c>
      <c r="E7" s="10" t="s">
        <v>191</v>
      </c>
      <c r="F7" s="11">
        <f>2/3</f>
        <v>0.66666666666666663</v>
      </c>
      <c r="G7" s="10" t="s">
        <v>285</v>
      </c>
      <c r="H7" s="11">
        <f>1/3</f>
        <v>0.33333333333333331</v>
      </c>
      <c r="I7" s="11">
        <v>1</v>
      </c>
      <c r="J7" s="21"/>
      <c r="K7" s="6"/>
      <c r="L7" s="6"/>
      <c r="M7" s="6"/>
      <c r="N7" s="6"/>
      <c r="O7" s="6"/>
    </row>
    <row r="8" spans="1:15" ht="129.6" x14ac:dyDescent="0.3">
      <c r="A8" s="12">
        <v>7</v>
      </c>
      <c r="B8" s="1" t="s">
        <v>35</v>
      </c>
      <c r="C8" s="10" t="s">
        <v>17</v>
      </c>
      <c r="D8" s="11">
        <f>2/4</f>
        <v>0.5</v>
      </c>
      <c r="E8" s="10" t="s">
        <v>192</v>
      </c>
      <c r="F8" s="11">
        <f>2/4</f>
        <v>0.5</v>
      </c>
      <c r="G8" s="10" t="s">
        <v>286</v>
      </c>
      <c r="H8" s="11">
        <f>2/4</f>
        <v>0.5</v>
      </c>
      <c r="I8" s="11">
        <v>0.5</v>
      </c>
      <c r="J8" s="21"/>
      <c r="K8" s="6"/>
      <c r="L8" s="6"/>
      <c r="M8" s="6"/>
      <c r="N8" s="6"/>
      <c r="O8" s="6"/>
    </row>
    <row r="9" spans="1:15" ht="273.60000000000002" x14ac:dyDescent="0.3">
      <c r="A9" s="12">
        <v>8</v>
      </c>
      <c r="B9" s="1" t="s">
        <v>36</v>
      </c>
      <c r="C9" s="10" t="s">
        <v>18</v>
      </c>
      <c r="D9" s="11">
        <v>0</v>
      </c>
      <c r="E9" s="10" t="s">
        <v>194</v>
      </c>
      <c r="F9" s="11">
        <v>0</v>
      </c>
      <c r="G9" s="10" t="s">
        <v>287</v>
      </c>
      <c r="H9" s="11">
        <v>0</v>
      </c>
      <c r="I9" s="22">
        <v>0</v>
      </c>
      <c r="J9" s="21"/>
      <c r="K9" s="6"/>
      <c r="L9" s="6"/>
      <c r="M9" s="6"/>
      <c r="N9" s="6"/>
      <c r="O9" s="6"/>
    </row>
    <row r="10" spans="1:15" ht="216" x14ac:dyDescent="0.3">
      <c r="A10" s="12">
        <v>9</v>
      </c>
      <c r="B10" s="1" t="s">
        <v>4</v>
      </c>
      <c r="C10" s="10" t="s">
        <v>19</v>
      </c>
      <c r="D10" s="11">
        <v>1</v>
      </c>
      <c r="E10" s="10" t="s">
        <v>195</v>
      </c>
      <c r="F10" s="11">
        <v>1</v>
      </c>
      <c r="G10" s="10" t="s">
        <v>288</v>
      </c>
      <c r="H10" s="11">
        <v>1</v>
      </c>
      <c r="I10" s="11">
        <v>1</v>
      </c>
      <c r="J10" s="21"/>
      <c r="K10" s="6"/>
      <c r="L10" s="6"/>
      <c r="M10" s="6"/>
      <c r="N10" s="6"/>
      <c r="O10" s="6"/>
    </row>
    <row r="11" spans="1:15" ht="201.6" x14ac:dyDescent="0.3">
      <c r="A11" s="12">
        <v>10</v>
      </c>
      <c r="B11" s="1" t="s">
        <v>5</v>
      </c>
      <c r="C11" s="10" t="s">
        <v>20</v>
      </c>
      <c r="D11" s="11">
        <v>1</v>
      </c>
      <c r="E11" s="10" t="s">
        <v>196</v>
      </c>
      <c r="F11" s="11">
        <v>1</v>
      </c>
      <c r="G11" s="10" t="s">
        <v>289</v>
      </c>
      <c r="H11" s="11">
        <v>1</v>
      </c>
      <c r="I11" s="11">
        <v>1</v>
      </c>
      <c r="J11" s="21"/>
      <c r="K11" s="6"/>
      <c r="L11" s="6"/>
      <c r="M11" s="6"/>
      <c r="N11" s="6"/>
      <c r="O11" s="6"/>
    </row>
    <row r="12" spans="1:15" ht="216" x14ac:dyDescent="0.3">
      <c r="A12" s="12">
        <v>11</v>
      </c>
      <c r="B12" s="1" t="s">
        <v>6</v>
      </c>
      <c r="C12" s="10" t="s">
        <v>21</v>
      </c>
      <c r="D12" s="11">
        <v>1</v>
      </c>
      <c r="E12" s="10" t="s">
        <v>197</v>
      </c>
      <c r="F12" s="11">
        <v>1</v>
      </c>
      <c r="G12" s="10" t="s">
        <v>290</v>
      </c>
      <c r="H12" s="11">
        <v>1</v>
      </c>
      <c r="I12" s="11">
        <v>1</v>
      </c>
      <c r="J12" s="21"/>
      <c r="K12" s="6"/>
      <c r="L12" s="6"/>
      <c r="M12" s="6"/>
      <c r="N12" s="6"/>
      <c r="O12" s="6"/>
    </row>
    <row r="13" spans="1:15" ht="172.8" x14ac:dyDescent="0.3">
      <c r="A13" s="12">
        <v>12</v>
      </c>
      <c r="B13" s="1" t="s">
        <v>7</v>
      </c>
      <c r="C13" s="10" t="s">
        <v>22</v>
      </c>
      <c r="D13" s="11">
        <v>0</v>
      </c>
      <c r="E13" s="10" t="s">
        <v>198</v>
      </c>
      <c r="F13" s="11">
        <f>1/6</f>
        <v>0.16666666666666666</v>
      </c>
      <c r="G13" s="10" t="s">
        <v>291</v>
      </c>
      <c r="H13" s="11">
        <v>0</v>
      </c>
      <c r="I13" s="11">
        <v>0.16666666666666666</v>
      </c>
      <c r="J13" s="21"/>
      <c r="K13" s="6"/>
      <c r="L13" s="6"/>
      <c r="M13" s="6"/>
      <c r="N13" s="6"/>
      <c r="O13" s="6"/>
    </row>
    <row r="14" spans="1:15" ht="201.6" x14ac:dyDescent="0.3">
      <c r="A14" s="12">
        <v>13</v>
      </c>
      <c r="B14" s="1" t="s">
        <v>37</v>
      </c>
      <c r="C14" s="10" t="s">
        <v>23</v>
      </c>
      <c r="D14" s="11">
        <v>1</v>
      </c>
      <c r="E14" s="10" t="s">
        <v>199</v>
      </c>
      <c r="F14" s="11">
        <v>1</v>
      </c>
      <c r="G14" s="10" t="s">
        <v>292</v>
      </c>
      <c r="H14" s="11">
        <v>1</v>
      </c>
      <c r="I14" s="11">
        <v>1</v>
      </c>
      <c r="J14" s="21"/>
      <c r="K14" s="6"/>
      <c r="L14" s="6"/>
      <c r="M14" s="6"/>
      <c r="N14" s="6"/>
      <c r="O14" s="6"/>
    </row>
    <row r="15" spans="1:15" ht="158.4" x14ac:dyDescent="0.3">
      <c r="A15" s="12">
        <v>14</v>
      </c>
      <c r="B15" s="1" t="s">
        <v>8</v>
      </c>
      <c r="C15" s="10" t="s">
        <v>24</v>
      </c>
      <c r="D15" s="11">
        <f>1/3</f>
        <v>0.33333333333333331</v>
      </c>
      <c r="E15" s="10" t="s">
        <v>200</v>
      </c>
      <c r="F15" s="11">
        <f>2/3</f>
        <v>0.66666666666666663</v>
      </c>
      <c r="G15" s="10" t="s">
        <v>293</v>
      </c>
      <c r="H15" s="11">
        <f>1/3</f>
        <v>0.33333333333333331</v>
      </c>
      <c r="I15" s="22">
        <v>0.66666666666666663</v>
      </c>
      <c r="J15" s="21"/>
      <c r="K15" s="6"/>
      <c r="L15" s="6"/>
      <c r="M15" s="6"/>
      <c r="N15" s="6"/>
      <c r="O15" s="6"/>
    </row>
    <row r="16" spans="1:15" ht="172.8" x14ac:dyDescent="0.3">
      <c r="A16" s="12">
        <v>15</v>
      </c>
      <c r="B16" s="1" t="s">
        <v>9</v>
      </c>
      <c r="C16" s="10" t="s">
        <v>25</v>
      </c>
      <c r="D16" s="11">
        <f>2/4</f>
        <v>0.5</v>
      </c>
      <c r="E16" s="10" t="s">
        <v>201</v>
      </c>
      <c r="F16" s="11">
        <f>2/4</f>
        <v>0.5</v>
      </c>
      <c r="G16" s="10" t="s">
        <v>294</v>
      </c>
      <c r="H16" s="11">
        <f>2/4</f>
        <v>0.5</v>
      </c>
      <c r="I16" s="11">
        <v>0.75</v>
      </c>
      <c r="J16" s="16"/>
    </row>
    <row r="17" spans="1:10" ht="259.2" x14ac:dyDescent="0.3">
      <c r="A17" s="12">
        <v>16</v>
      </c>
      <c r="B17" s="1" t="s">
        <v>10</v>
      </c>
      <c r="C17" s="10" t="s">
        <v>26</v>
      </c>
      <c r="D17" s="11">
        <f>2/4</f>
        <v>0.5</v>
      </c>
      <c r="E17" s="10" t="s">
        <v>202</v>
      </c>
      <c r="F17" s="11">
        <v>1</v>
      </c>
      <c r="G17" s="10" t="s">
        <v>295</v>
      </c>
      <c r="H17" s="11">
        <f>1/4</f>
        <v>0.25</v>
      </c>
      <c r="I17" s="11">
        <v>1</v>
      </c>
      <c r="J17" s="16"/>
    </row>
    <row r="18" spans="1:10" ht="259.2" x14ac:dyDescent="0.3">
      <c r="A18" s="12">
        <v>17</v>
      </c>
      <c r="B18" s="1" t="s">
        <v>11</v>
      </c>
      <c r="C18" s="10" t="s">
        <v>27</v>
      </c>
      <c r="D18" s="11">
        <v>1</v>
      </c>
      <c r="E18" s="10" t="s">
        <v>203</v>
      </c>
      <c r="F18" s="11">
        <v>1</v>
      </c>
      <c r="G18" s="10" t="s">
        <v>296</v>
      </c>
      <c r="H18" s="11">
        <v>1</v>
      </c>
      <c r="I18" s="11">
        <v>1</v>
      </c>
      <c r="J18" s="16"/>
    </row>
    <row r="19" spans="1:10" ht="230.4" x14ac:dyDescent="0.3">
      <c r="A19" s="12">
        <v>18</v>
      </c>
      <c r="B19" s="1" t="s">
        <v>38</v>
      </c>
      <c r="C19" s="10" t="s">
        <v>28</v>
      </c>
      <c r="D19" s="11">
        <f>3/5</f>
        <v>0.6</v>
      </c>
      <c r="E19" s="10" t="s">
        <v>204</v>
      </c>
      <c r="F19" s="11">
        <f>1/5</f>
        <v>0.2</v>
      </c>
      <c r="G19" s="10" t="s">
        <v>297</v>
      </c>
      <c r="H19" s="11">
        <f>3/5</f>
        <v>0.6</v>
      </c>
      <c r="I19" s="11">
        <v>0.6</v>
      </c>
      <c r="J19" s="16"/>
    </row>
    <row r="20" spans="1:10" ht="129.6" x14ac:dyDescent="0.3">
      <c r="A20" s="12">
        <v>19</v>
      </c>
      <c r="B20" s="1" t="s">
        <v>39</v>
      </c>
      <c r="C20" s="10" t="s">
        <v>29</v>
      </c>
      <c r="D20" s="11">
        <v>1</v>
      </c>
      <c r="E20" s="10" t="s">
        <v>205</v>
      </c>
      <c r="F20" s="11">
        <v>1</v>
      </c>
      <c r="G20" s="10" t="s">
        <v>298</v>
      </c>
      <c r="H20" s="11">
        <v>1</v>
      </c>
      <c r="I20" s="11">
        <v>1</v>
      </c>
      <c r="J20" s="16"/>
    </row>
    <row r="21" spans="1:10" ht="216" x14ac:dyDescent="0.3">
      <c r="A21" s="12">
        <v>20</v>
      </c>
      <c r="B21" s="1" t="s">
        <v>40</v>
      </c>
      <c r="C21" s="10" t="s">
        <v>30</v>
      </c>
      <c r="D21" s="11">
        <v>1</v>
      </c>
      <c r="E21" s="10" t="s">
        <v>206</v>
      </c>
      <c r="F21" s="11">
        <v>1</v>
      </c>
      <c r="G21" s="10" t="s">
        <v>299</v>
      </c>
      <c r="H21" s="11">
        <v>1</v>
      </c>
      <c r="I21" s="11">
        <v>1</v>
      </c>
      <c r="J21" s="16"/>
    </row>
    <row r="22" spans="1:10" ht="230.4" x14ac:dyDescent="0.3">
      <c r="A22" s="12">
        <v>21</v>
      </c>
      <c r="B22" s="1" t="s">
        <v>41</v>
      </c>
      <c r="C22" s="10" t="s">
        <v>31</v>
      </c>
      <c r="D22" s="11">
        <v>0</v>
      </c>
      <c r="E22" s="10" t="s">
        <v>207</v>
      </c>
      <c r="F22" s="11">
        <v>0</v>
      </c>
      <c r="G22" s="10" t="s">
        <v>300</v>
      </c>
      <c r="H22" s="11">
        <v>0</v>
      </c>
      <c r="I22" s="11">
        <v>0</v>
      </c>
      <c r="J22" s="16"/>
    </row>
    <row r="23" spans="1:10" ht="100.8" x14ac:dyDescent="0.3">
      <c r="A23" s="12">
        <v>22</v>
      </c>
      <c r="B23" s="1" t="s">
        <v>55</v>
      </c>
      <c r="C23" s="10" t="s">
        <v>112</v>
      </c>
      <c r="D23" s="11">
        <v>1</v>
      </c>
      <c r="E23" s="10" t="s">
        <v>208</v>
      </c>
      <c r="F23" s="11">
        <v>1</v>
      </c>
      <c r="G23" s="10" t="s">
        <v>301</v>
      </c>
      <c r="H23" s="11">
        <v>1</v>
      </c>
      <c r="I23" s="11">
        <v>1</v>
      </c>
      <c r="J23" s="16"/>
    </row>
    <row r="24" spans="1:10" ht="187.2" x14ac:dyDescent="0.3">
      <c r="A24" s="12">
        <v>23</v>
      </c>
      <c r="B24" s="1" t="s">
        <v>56</v>
      </c>
      <c r="C24" s="10" t="s">
        <v>113</v>
      </c>
      <c r="D24" s="11">
        <f>2/5</f>
        <v>0.4</v>
      </c>
      <c r="E24" s="10" t="s">
        <v>209</v>
      </c>
      <c r="F24" s="11">
        <f>1/5</f>
        <v>0.2</v>
      </c>
      <c r="G24" s="10" t="s">
        <v>302</v>
      </c>
      <c r="H24" s="11">
        <f>1/5</f>
        <v>0.2</v>
      </c>
      <c r="I24" s="11">
        <v>0.4</v>
      </c>
      <c r="J24" s="16"/>
    </row>
    <row r="25" spans="1:10" ht="158.4" x14ac:dyDescent="0.3">
      <c r="A25" s="12">
        <v>24</v>
      </c>
      <c r="B25" s="1" t="s">
        <v>57</v>
      </c>
      <c r="C25" s="10" t="s">
        <v>114</v>
      </c>
      <c r="D25" s="11">
        <v>1</v>
      </c>
      <c r="E25" s="10" t="s">
        <v>210</v>
      </c>
      <c r="F25" s="11">
        <v>1</v>
      </c>
      <c r="G25" s="10" t="s">
        <v>303</v>
      </c>
      <c r="H25" s="11">
        <v>1</v>
      </c>
      <c r="I25" s="11">
        <v>1</v>
      </c>
      <c r="J25" s="16"/>
    </row>
    <row r="26" spans="1:10" ht="172.8" x14ac:dyDescent="0.3">
      <c r="A26" s="12">
        <v>25</v>
      </c>
      <c r="B26" s="1" t="s">
        <v>58</v>
      </c>
      <c r="C26" s="10" t="s">
        <v>115</v>
      </c>
      <c r="D26" s="11">
        <v>0</v>
      </c>
      <c r="E26" s="10" t="s">
        <v>211</v>
      </c>
      <c r="F26" s="11">
        <v>0</v>
      </c>
      <c r="G26" s="10" t="s">
        <v>304</v>
      </c>
      <c r="H26" s="11">
        <v>0</v>
      </c>
      <c r="I26" s="11">
        <v>0</v>
      </c>
      <c r="J26" s="16"/>
    </row>
    <row r="27" spans="1:10" ht="201.6" x14ac:dyDescent="0.3">
      <c r="A27" s="12">
        <v>26</v>
      </c>
      <c r="B27" s="1" t="s">
        <v>59</v>
      </c>
      <c r="C27" s="10" t="s">
        <v>374</v>
      </c>
      <c r="D27" s="11">
        <f>2/3</f>
        <v>0.66666666666666663</v>
      </c>
      <c r="E27" s="10" t="s">
        <v>212</v>
      </c>
      <c r="F27" s="11">
        <f>2/3</f>
        <v>0.66666666666666663</v>
      </c>
      <c r="G27" s="10" t="s">
        <v>305</v>
      </c>
      <c r="H27" s="11">
        <f>2/3</f>
        <v>0.66666666666666663</v>
      </c>
      <c r="I27" s="11">
        <v>0.66666666666666663</v>
      </c>
      <c r="J27" s="16"/>
    </row>
    <row r="28" spans="1:10" ht="100.8" x14ac:dyDescent="0.3">
      <c r="A28" s="12">
        <v>27</v>
      </c>
      <c r="B28" s="1" t="s">
        <v>60</v>
      </c>
      <c r="C28" s="10" t="s">
        <v>116</v>
      </c>
      <c r="D28" s="11">
        <f>3/7</f>
        <v>0.42857142857142855</v>
      </c>
      <c r="E28" s="10" t="s">
        <v>213</v>
      </c>
      <c r="F28" s="11">
        <f>3/7</f>
        <v>0.42857142857142855</v>
      </c>
      <c r="G28" s="10" t="s">
        <v>306</v>
      </c>
      <c r="H28" s="11">
        <f>2/7</f>
        <v>0.2857142857142857</v>
      </c>
      <c r="I28" s="11">
        <v>0.42857142857142855</v>
      </c>
      <c r="J28" s="16"/>
    </row>
    <row r="29" spans="1:10" ht="144" x14ac:dyDescent="0.3">
      <c r="A29" s="12">
        <v>28</v>
      </c>
      <c r="B29" s="1" t="s">
        <v>61</v>
      </c>
      <c r="C29" s="10" t="s">
        <v>117</v>
      </c>
      <c r="D29" s="11">
        <v>0</v>
      </c>
      <c r="E29" s="10" t="s">
        <v>214</v>
      </c>
      <c r="F29" s="11">
        <v>0</v>
      </c>
      <c r="G29" s="10" t="s">
        <v>307</v>
      </c>
      <c r="H29" s="11">
        <v>1</v>
      </c>
      <c r="I29" s="11">
        <v>1</v>
      </c>
      <c r="J29" s="16"/>
    </row>
    <row r="30" spans="1:10" ht="259.2" x14ac:dyDescent="0.3">
      <c r="A30" s="12">
        <v>29</v>
      </c>
      <c r="B30" s="1" t="s">
        <v>62</v>
      </c>
      <c r="C30" s="10" t="s">
        <v>118</v>
      </c>
      <c r="D30" s="11">
        <v>0</v>
      </c>
      <c r="E30" s="10" t="s">
        <v>215</v>
      </c>
      <c r="F30" s="11">
        <v>0</v>
      </c>
      <c r="G30" s="10" t="s">
        <v>308</v>
      </c>
      <c r="H30" s="11">
        <f>1/2</f>
        <v>0.5</v>
      </c>
      <c r="I30" s="11">
        <v>0.5</v>
      </c>
      <c r="J30" s="16"/>
    </row>
    <row r="31" spans="1:10" ht="115.2" x14ac:dyDescent="0.3">
      <c r="A31" s="12">
        <v>30</v>
      </c>
      <c r="B31" s="1" t="s">
        <v>63</v>
      </c>
      <c r="C31" s="10" t="s">
        <v>119</v>
      </c>
      <c r="D31" s="11">
        <v>1</v>
      </c>
      <c r="E31" s="10" t="s">
        <v>216</v>
      </c>
      <c r="F31" s="11">
        <v>1</v>
      </c>
      <c r="G31" s="10" t="s">
        <v>309</v>
      </c>
      <c r="H31" s="11">
        <v>1</v>
      </c>
      <c r="I31" s="11">
        <v>1</v>
      </c>
      <c r="J31" s="16"/>
    </row>
    <row r="32" spans="1:10" ht="164.4" customHeight="1" x14ac:dyDescent="0.3">
      <c r="A32" s="12">
        <v>31</v>
      </c>
      <c r="B32" s="1" t="s">
        <v>64</v>
      </c>
      <c r="C32" s="10" t="s">
        <v>120</v>
      </c>
      <c r="D32" s="11">
        <f>2/5</f>
        <v>0.4</v>
      </c>
      <c r="E32" s="10" t="s">
        <v>217</v>
      </c>
      <c r="F32" s="11">
        <f>2/5</f>
        <v>0.4</v>
      </c>
      <c r="G32" s="10" t="s">
        <v>310</v>
      </c>
      <c r="H32" s="11">
        <f>1/5</f>
        <v>0.2</v>
      </c>
      <c r="I32" s="11">
        <v>0.4</v>
      </c>
      <c r="J32" s="16"/>
    </row>
    <row r="33" spans="1:10" ht="172.8" x14ac:dyDescent="0.3">
      <c r="A33" s="12">
        <v>32</v>
      </c>
      <c r="B33" s="1" t="s">
        <v>65</v>
      </c>
      <c r="C33" s="10" t="s">
        <v>121</v>
      </c>
      <c r="D33" s="11">
        <f>2/3</f>
        <v>0.66666666666666663</v>
      </c>
      <c r="E33" s="10" t="s">
        <v>218</v>
      </c>
      <c r="F33" s="11">
        <f>1/3</f>
        <v>0.33333333333333331</v>
      </c>
      <c r="G33" s="10" t="s">
        <v>311</v>
      </c>
      <c r="H33" s="11">
        <f>1/3</f>
        <v>0.33333333333333331</v>
      </c>
      <c r="I33" s="11">
        <v>0.66666666666666663</v>
      </c>
      <c r="J33" s="16"/>
    </row>
    <row r="34" spans="1:10" ht="244.8" x14ac:dyDescent="0.3">
      <c r="A34" s="12">
        <v>33</v>
      </c>
      <c r="B34" s="1" t="s">
        <v>66</v>
      </c>
      <c r="C34" s="10" t="s">
        <v>184</v>
      </c>
      <c r="D34" s="11">
        <v>0</v>
      </c>
      <c r="E34" s="10" t="s">
        <v>219</v>
      </c>
      <c r="F34" s="11">
        <v>1</v>
      </c>
      <c r="G34" s="10" t="s">
        <v>312</v>
      </c>
      <c r="H34" s="11">
        <v>0</v>
      </c>
      <c r="I34" s="11">
        <v>1</v>
      </c>
      <c r="J34" s="16"/>
    </row>
    <row r="35" spans="1:10" ht="172.8" x14ac:dyDescent="0.3">
      <c r="A35" s="12">
        <v>34</v>
      </c>
      <c r="B35" s="1" t="s">
        <v>67</v>
      </c>
      <c r="C35" s="10" t="s">
        <v>122</v>
      </c>
      <c r="D35" s="11">
        <v>1</v>
      </c>
      <c r="E35" s="10" t="s">
        <v>220</v>
      </c>
      <c r="F35" s="11">
        <v>0</v>
      </c>
      <c r="G35" s="10" t="s">
        <v>313</v>
      </c>
      <c r="H35" s="11">
        <v>0</v>
      </c>
      <c r="I35" s="11">
        <v>1</v>
      </c>
      <c r="J35" s="16"/>
    </row>
    <row r="36" spans="1:10" ht="129.6" x14ac:dyDescent="0.3">
      <c r="A36" s="12">
        <v>35</v>
      </c>
      <c r="B36" s="1" t="s">
        <v>68</v>
      </c>
      <c r="C36" s="10" t="s">
        <v>123</v>
      </c>
      <c r="D36" s="11">
        <v>1</v>
      </c>
      <c r="E36" s="10" t="s">
        <v>221</v>
      </c>
      <c r="F36" s="11">
        <v>1</v>
      </c>
      <c r="G36" s="10" t="s">
        <v>314</v>
      </c>
      <c r="H36" s="11">
        <v>1</v>
      </c>
      <c r="I36" s="11">
        <v>1</v>
      </c>
      <c r="J36" s="16"/>
    </row>
    <row r="37" spans="1:10" ht="158.4" x14ac:dyDescent="0.3">
      <c r="A37" s="12">
        <v>37</v>
      </c>
      <c r="B37" s="1" t="s">
        <v>69</v>
      </c>
      <c r="C37" s="10" t="s">
        <v>124</v>
      </c>
      <c r="D37" s="11">
        <f>1/5</f>
        <v>0.2</v>
      </c>
      <c r="E37" s="10" t="s">
        <v>222</v>
      </c>
      <c r="F37" s="11">
        <f>1/5</f>
        <v>0.2</v>
      </c>
      <c r="G37" s="10" t="s">
        <v>315</v>
      </c>
      <c r="H37" s="11">
        <f t="shared" ref="H37" si="0">1/5</f>
        <v>0.2</v>
      </c>
      <c r="I37" s="11">
        <v>0.2</v>
      </c>
      <c r="J37" s="16"/>
    </row>
    <row r="38" spans="1:10" ht="216" x14ac:dyDescent="0.3">
      <c r="A38" s="12">
        <v>39</v>
      </c>
      <c r="B38" s="1" t="s">
        <v>70</v>
      </c>
      <c r="C38" s="10" t="s">
        <v>125</v>
      </c>
      <c r="D38" s="11">
        <v>0</v>
      </c>
      <c r="E38" s="10" t="s">
        <v>223</v>
      </c>
      <c r="F38" s="11">
        <v>0</v>
      </c>
      <c r="G38" s="10" t="s">
        <v>316</v>
      </c>
      <c r="H38" s="11">
        <v>0</v>
      </c>
      <c r="I38" s="11">
        <v>0</v>
      </c>
      <c r="J38" s="16"/>
    </row>
    <row r="39" spans="1:10" ht="201.6" x14ac:dyDescent="0.3">
      <c r="A39" s="12">
        <v>40</v>
      </c>
      <c r="B39" s="1" t="s">
        <v>71</v>
      </c>
      <c r="C39" s="10" t="s">
        <v>126</v>
      </c>
      <c r="D39" s="11">
        <v>1</v>
      </c>
      <c r="E39" s="10" t="s">
        <v>224</v>
      </c>
      <c r="F39" s="11">
        <v>1</v>
      </c>
      <c r="G39" s="10" t="s">
        <v>317</v>
      </c>
      <c r="H39" s="11">
        <v>0</v>
      </c>
      <c r="I39" s="11">
        <v>1</v>
      </c>
      <c r="J39" s="16"/>
    </row>
    <row r="40" spans="1:10" ht="244.8" x14ac:dyDescent="0.3">
      <c r="A40" s="12">
        <v>41</v>
      </c>
      <c r="B40" s="1" t="s">
        <v>72</v>
      </c>
      <c r="C40" s="10" t="s">
        <v>127</v>
      </c>
      <c r="D40" s="11">
        <v>0</v>
      </c>
      <c r="E40" s="10" t="s">
        <v>225</v>
      </c>
      <c r="F40" s="11">
        <v>0</v>
      </c>
      <c r="G40" s="10" t="s">
        <v>318</v>
      </c>
      <c r="H40" s="11">
        <v>0</v>
      </c>
      <c r="I40" s="11">
        <v>0</v>
      </c>
      <c r="J40" s="16"/>
    </row>
    <row r="41" spans="1:10" ht="144" x14ac:dyDescent="0.3">
      <c r="A41" s="12">
        <v>42</v>
      </c>
      <c r="B41" s="1" t="s">
        <v>73</v>
      </c>
      <c r="C41" s="10" t="s">
        <v>128</v>
      </c>
      <c r="D41" s="11">
        <v>0</v>
      </c>
      <c r="E41" s="10" t="s">
        <v>226</v>
      </c>
      <c r="F41" s="11">
        <v>0</v>
      </c>
      <c r="G41" s="10" t="s">
        <v>319</v>
      </c>
      <c r="H41" s="11">
        <v>0</v>
      </c>
      <c r="I41" s="11">
        <v>0</v>
      </c>
      <c r="J41" s="16"/>
    </row>
    <row r="42" spans="1:10" ht="172.8" x14ac:dyDescent="0.3">
      <c r="A42" s="12">
        <v>43</v>
      </c>
      <c r="B42" s="1" t="s">
        <v>74</v>
      </c>
      <c r="C42" s="10" t="s">
        <v>129</v>
      </c>
      <c r="D42" s="11">
        <f>2/7</f>
        <v>0.2857142857142857</v>
      </c>
      <c r="E42" s="10" t="s">
        <v>227</v>
      </c>
      <c r="F42" s="11">
        <f>2/7</f>
        <v>0.2857142857142857</v>
      </c>
      <c r="G42" s="10" t="s">
        <v>320</v>
      </c>
      <c r="H42" s="11">
        <f>1/7</f>
        <v>0.14285714285714285</v>
      </c>
      <c r="I42" s="11">
        <v>0.2857142857142857</v>
      </c>
      <c r="J42" s="16"/>
    </row>
    <row r="43" spans="1:10" ht="158.4" x14ac:dyDescent="0.3">
      <c r="A43" s="12">
        <v>44</v>
      </c>
      <c r="B43" s="1" t="s">
        <v>75</v>
      </c>
      <c r="C43" s="10" t="s">
        <v>130</v>
      </c>
      <c r="D43" s="11">
        <v>1</v>
      </c>
      <c r="E43" s="10" t="s">
        <v>228</v>
      </c>
      <c r="F43" s="11">
        <v>1</v>
      </c>
      <c r="G43" s="10" t="s">
        <v>321</v>
      </c>
      <c r="H43" s="11">
        <v>1</v>
      </c>
      <c r="I43" s="11">
        <v>1</v>
      </c>
      <c r="J43" s="16"/>
    </row>
    <row r="44" spans="1:10" ht="144" x14ac:dyDescent="0.3">
      <c r="A44" s="12">
        <v>45</v>
      </c>
      <c r="B44" s="1" t="s">
        <v>76</v>
      </c>
      <c r="C44" s="10" t="s">
        <v>131</v>
      </c>
      <c r="D44" s="11">
        <f>1/3</f>
        <v>0.33333333333333331</v>
      </c>
      <c r="E44" s="10" t="s">
        <v>229</v>
      </c>
      <c r="F44" s="11">
        <f>1/3</f>
        <v>0.33333333333333331</v>
      </c>
      <c r="G44" s="10" t="s">
        <v>322</v>
      </c>
      <c r="H44" s="11">
        <v>1</v>
      </c>
      <c r="I44" s="11">
        <v>1</v>
      </c>
      <c r="J44" s="16"/>
    </row>
    <row r="45" spans="1:10" ht="129.6" x14ac:dyDescent="0.3">
      <c r="A45" s="12">
        <v>47</v>
      </c>
      <c r="B45" s="1" t="s">
        <v>77</v>
      </c>
      <c r="C45" s="10" t="s">
        <v>132</v>
      </c>
      <c r="D45" s="11">
        <v>1</v>
      </c>
      <c r="E45" s="10" t="s">
        <v>230</v>
      </c>
      <c r="F45" s="11">
        <v>1</v>
      </c>
      <c r="G45" s="10" t="s">
        <v>323</v>
      </c>
      <c r="H45" s="11">
        <v>1</v>
      </c>
      <c r="I45" s="11">
        <v>1</v>
      </c>
      <c r="J45" s="16"/>
    </row>
    <row r="46" spans="1:10" ht="158.4" x14ac:dyDescent="0.3">
      <c r="A46" s="12">
        <v>48</v>
      </c>
      <c r="B46" s="1" t="s">
        <v>78</v>
      </c>
      <c r="C46" s="10" t="s">
        <v>133</v>
      </c>
      <c r="D46" s="11">
        <v>0</v>
      </c>
      <c r="E46" s="10" t="s">
        <v>231</v>
      </c>
      <c r="F46" s="11">
        <v>0</v>
      </c>
      <c r="G46" s="10" t="s">
        <v>324</v>
      </c>
      <c r="H46" s="11">
        <v>0</v>
      </c>
      <c r="I46" s="11">
        <v>0</v>
      </c>
      <c r="J46" s="16"/>
    </row>
    <row r="47" spans="1:10" ht="158.4" x14ac:dyDescent="0.3">
      <c r="A47" s="12">
        <v>49</v>
      </c>
      <c r="B47" s="1" t="s">
        <v>79</v>
      </c>
      <c r="C47" s="10" t="s">
        <v>134</v>
      </c>
      <c r="D47" s="11">
        <v>1</v>
      </c>
      <c r="E47" s="10" t="s">
        <v>232</v>
      </c>
      <c r="F47" s="11">
        <f>1/2</f>
        <v>0.5</v>
      </c>
      <c r="G47" s="10" t="s">
        <v>325</v>
      </c>
      <c r="H47" s="11">
        <v>1</v>
      </c>
      <c r="I47" s="11">
        <v>1</v>
      </c>
      <c r="J47" s="16"/>
    </row>
    <row r="48" spans="1:10" ht="144" x14ac:dyDescent="0.3">
      <c r="A48" s="12">
        <v>50</v>
      </c>
      <c r="B48" s="1" t="s">
        <v>80</v>
      </c>
      <c r="C48" s="10" t="s">
        <v>135</v>
      </c>
      <c r="D48" s="11">
        <v>1</v>
      </c>
      <c r="E48" s="10" t="s">
        <v>233</v>
      </c>
      <c r="F48" s="11">
        <v>0</v>
      </c>
      <c r="G48" s="10" t="s">
        <v>326</v>
      </c>
      <c r="H48" s="11">
        <v>0</v>
      </c>
      <c r="I48" s="11">
        <v>1</v>
      </c>
      <c r="J48" s="16"/>
    </row>
    <row r="49" spans="1:10" ht="158.4" x14ac:dyDescent="0.3">
      <c r="A49" s="12">
        <v>51</v>
      </c>
      <c r="B49" s="1" t="s">
        <v>81</v>
      </c>
      <c r="C49" s="10" t="s">
        <v>136</v>
      </c>
      <c r="D49" s="11">
        <v>1</v>
      </c>
      <c r="E49" s="10" t="s">
        <v>234</v>
      </c>
      <c r="F49" s="11">
        <f>2/3</f>
        <v>0.66666666666666663</v>
      </c>
      <c r="G49" s="10" t="s">
        <v>327</v>
      </c>
      <c r="H49" s="11">
        <v>0</v>
      </c>
      <c r="I49" s="11">
        <v>1</v>
      </c>
      <c r="J49" s="16"/>
    </row>
    <row r="50" spans="1:10" ht="172.8" x14ac:dyDescent="0.3">
      <c r="A50" s="12">
        <v>52</v>
      </c>
      <c r="B50" s="1" t="s">
        <v>82</v>
      </c>
      <c r="C50" s="10" t="s">
        <v>137</v>
      </c>
      <c r="D50" s="11">
        <v>1</v>
      </c>
      <c r="E50" s="10" t="s">
        <v>235</v>
      </c>
      <c r="F50" s="11">
        <f>2/3</f>
        <v>0.66666666666666663</v>
      </c>
      <c r="G50" s="10" t="s">
        <v>328</v>
      </c>
      <c r="H50" s="11">
        <f>1/3</f>
        <v>0.33333333333333331</v>
      </c>
      <c r="I50" s="11">
        <v>1</v>
      </c>
      <c r="J50" s="16"/>
    </row>
    <row r="51" spans="1:10" ht="187.2" x14ac:dyDescent="0.3">
      <c r="A51" s="12">
        <v>53</v>
      </c>
      <c r="B51" s="1" t="s">
        <v>83</v>
      </c>
      <c r="C51" s="10" t="s">
        <v>138</v>
      </c>
      <c r="D51" s="11">
        <v>1</v>
      </c>
      <c r="E51" s="10" t="s">
        <v>236</v>
      </c>
      <c r="F51" s="11">
        <f>1/3</f>
        <v>0.33333333333333331</v>
      </c>
      <c r="G51" s="10" t="s">
        <v>329</v>
      </c>
      <c r="H51" s="11">
        <f>1/3</f>
        <v>0.33333333333333331</v>
      </c>
      <c r="I51" s="11">
        <v>1</v>
      </c>
      <c r="J51" s="16"/>
    </row>
    <row r="52" spans="1:10" ht="115.2" x14ac:dyDescent="0.3">
      <c r="A52" s="12">
        <v>54</v>
      </c>
      <c r="B52" s="1" t="s">
        <v>140</v>
      </c>
      <c r="C52" s="10" t="s">
        <v>139</v>
      </c>
      <c r="D52" s="11">
        <v>1</v>
      </c>
      <c r="E52" s="10" t="s">
        <v>237</v>
      </c>
      <c r="F52" s="11">
        <v>0</v>
      </c>
      <c r="G52" s="10" t="s">
        <v>330</v>
      </c>
      <c r="H52" s="11">
        <v>0</v>
      </c>
      <c r="I52" s="11">
        <v>1</v>
      </c>
      <c r="J52" s="16"/>
    </row>
    <row r="53" spans="1:10" ht="316.8" x14ac:dyDescent="0.3">
      <c r="A53" s="12">
        <v>56</v>
      </c>
      <c r="B53" s="1" t="s">
        <v>84</v>
      </c>
      <c r="C53" s="10" t="s">
        <v>141</v>
      </c>
      <c r="D53" s="11">
        <f>2/7</f>
        <v>0.2857142857142857</v>
      </c>
      <c r="E53" s="10" t="s">
        <v>238</v>
      </c>
      <c r="F53" s="11">
        <f>1/7</f>
        <v>0.14285714285714285</v>
      </c>
      <c r="G53" s="10" t="s">
        <v>331</v>
      </c>
      <c r="H53" s="11">
        <f>1/7</f>
        <v>0.14285714285714285</v>
      </c>
      <c r="I53" s="11">
        <v>0.2857142857142857</v>
      </c>
      <c r="J53" s="16"/>
    </row>
    <row r="54" spans="1:10" ht="172.8" x14ac:dyDescent="0.3">
      <c r="A54" s="12">
        <v>57</v>
      </c>
      <c r="B54" s="1" t="s">
        <v>85</v>
      </c>
      <c r="C54" s="10" t="s">
        <v>142</v>
      </c>
      <c r="D54" s="11">
        <v>1</v>
      </c>
      <c r="E54" s="10" t="s">
        <v>239</v>
      </c>
      <c r="F54" s="11">
        <v>1</v>
      </c>
      <c r="G54" s="10" t="s">
        <v>332</v>
      </c>
      <c r="H54" s="11">
        <v>1</v>
      </c>
      <c r="I54" s="11">
        <v>1</v>
      </c>
      <c r="J54" s="16"/>
    </row>
    <row r="55" spans="1:10" ht="172.8" x14ac:dyDescent="0.3">
      <c r="A55" s="12">
        <v>58</v>
      </c>
      <c r="B55" s="1" t="s">
        <v>86</v>
      </c>
      <c r="C55" s="10" t="s">
        <v>143</v>
      </c>
      <c r="D55" s="11">
        <v>1</v>
      </c>
      <c r="E55" s="10" t="s">
        <v>240</v>
      </c>
      <c r="F55" s="11">
        <v>1</v>
      </c>
      <c r="G55" s="10" t="s">
        <v>333</v>
      </c>
      <c r="H55" s="11">
        <v>1</v>
      </c>
      <c r="I55" s="11">
        <v>1</v>
      </c>
      <c r="J55" s="16"/>
    </row>
    <row r="56" spans="1:10" ht="158.4" x14ac:dyDescent="0.3">
      <c r="A56" s="12">
        <v>59</v>
      </c>
      <c r="B56" s="1" t="s">
        <v>87</v>
      </c>
      <c r="C56" s="10" t="s">
        <v>144</v>
      </c>
      <c r="D56" s="11">
        <v>1</v>
      </c>
      <c r="E56" s="10" t="s">
        <v>241</v>
      </c>
      <c r="F56" s="11">
        <v>0</v>
      </c>
      <c r="G56" s="10" t="s">
        <v>334</v>
      </c>
      <c r="H56" s="11">
        <v>0</v>
      </c>
      <c r="I56" s="11">
        <v>1</v>
      </c>
      <c r="J56" s="16"/>
    </row>
    <row r="57" spans="1:10" ht="129.6" x14ac:dyDescent="0.3">
      <c r="A57" s="12">
        <v>60</v>
      </c>
      <c r="B57" s="1" t="s">
        <v>88</v>
      </c>
      <c r="C57" s="10" t="s">
        <v>145</v>
      </c>
      <c r="D57" s="11">
        <v>0</v>
      </c>
      <c r="E57" s="10" t="s">
        <v>242</v>
      </c>
      <c r="F57" s="11">
        <v>0</v>
      </c>
      <c r="G57" s="10" t="s">
        <v>335</v>
      </c>
      <c r="H57" s="11">
        <v>1</v>
      </c>
      <c r="I57" s="11">
        <v>1</v>
      </c>
      <c r="J57" s="16"/>
    </row>
    <row r="58" spans="1:10" ht="216" x14ac:dyDescent="0.3">
      <c r="A58" s="12">
        <v>61</v>
      </c>
      <c r="B58" s="1" t="s">
        <v>89</v>
      </c>
      <c r="C58" s="10" t="s">
        <v>146</v>
      </c>
      <c r="D58" s="11">
        <v>1</v>
      </c>
      <c r="E58" s="10" t="s">
        <v>243</v>
      </c>
      <c r="F58" s="11">
        <v>1</v>
      </c>
      <c r="G58" s="10" t="s">
        <v>336</v>
      </c>
      <c r="H58" s="11">
        <v>1</v>
      </c>
      <c r="I58" s="11">
        <v>1</v>
      </c>
      <c r="J58" s="16"/>
    </row>
    <row r="59" spans="1:10" ht="144" x14ac:dyDescent="0.3">
      <c r="A59" s="12">
        <v>62</v>
      </c>
      <c r="B59" s="1" t="s">
        <v>90</v>
      </c>
      <c r="C59" s="10" t="s">
        <v>147</v>
      </c>
      <c r="D59" s="11">
        <v>1</v>
      </c>
      <c r="E59" s="10" t="s">
        <v>244</v>
      </c>
      <c r="F59" s="11">
        <v>1</v>
      </c>
      <c r="G59" s="10" t="s">
        <v>337</v>
      </c>
      <c r="H59" s="11">
        <v>1</v>
      </c>
      <c r="I59" s="11">
        <v>1</v>
      </c>
      <c r="J59" s="16"/>
    </row>
    <row r="60" spans="1:10" ht="172.8" x14ac:dyDescent="0.3">
      <c r="A60" s="12">
        <v>63</v>
      </c>
      <c r="B60" s="1" t="s">
        <v>91</v>
      </c>
      <c r="C60" s="10" t="s">
        <v>148</v>
      </c>
      <c r="D60" s="11">
        <v>1</v>
      </c>
      <c r="E60" s="10" t="s">
        <v>245</v>
      </c>
      <c r="F60" s="11">
        <v>1</v>
      </c>
      <c r="G60" s="10" t="s">
        <v>338</v>
      </c>
      <c r="H60" s="11">
        <v>1</v>
      </c>
      <c r="I60" s="11">
        <v>1</v>
      </c>
      <c r="J60" s="16"/>
    </row>
    <row r="61" spans="1:10" ht="288" x14ac:dyDescent="0.3">
      <c r="A61" s="12">
        <v>64</v>
      </c>
      <c r="B61" s="1" t="s">
        <v>92</v>
      </c>
      <c r="C61" s="10" t="s">
        <v>149</v>
      </c>
      <c r="D61" s="11">
        <v>1</v>
      </c>
      <c r="E61" s="10" t="s">
        <v>246</v>
      </c>
      <c r="F61" s="11">
        <v>1</v>
      </c>
      <c r="G61" s="10" t="s">
        <v>339</v>
      </c>
      <c r="H61" s="11">
        <v>1</v>
      </c>
      <c r="I61" s="11">
        <v>1</v>
      </c>
      <c r="J61" s="16"/>
    </row>
    <row r="62" spans="1:10" ht="201.6" x14ac:dyDescent="0.3">
      <c r="A62" s="12">
        <v>65</v>
      </c>
      <c r="B62" s="1" t="s">
        <v>93</v>
      </c>
      <c r="C62" s="10" t="s">
        <v>150</v>
      </c>
      <c r="D62" s="11">
        <v>1</v>
      </c>
      <c r="E62" s="10" t="s">
        <v>247</v>
      </c>
      <c r="F62" s="11">
        <v>1</v>
      </c>
      <c r="G62" s="10" t="s">
        <v>340</v>
      </c>
      <c r="H62" s="11">
        <v>1</v>
      </c>
      <c r="I62" s="11">
        <v>1</v>
      </c>
      <c r="J62" s="16"/>
    </row>
    <row r="63" spans="1:10" ht="201.6" x14ac:dyDescent="0.3">
      <c r="A63" s="12">
        <v>66</v>
      </c>
      <c r="B63" s="1" t="s">
        <v>94</v>
      </c>
      <c r="C63" s="10" t="s">
        <v>151</v>
      </c>
      <c r="D63" s="11">
        <v>0</v>
      </c>
      <c r="E63" s="10" t="s">
        <v>248</v>
      </c>
      <c r="F63" s="11">
        <f>1/5</f>
        <v>0.2</v>
      </c>
      <c r="G63" s="10" t="s">
        <v>341</v>
      </c>
      <c r="H63" s="11">
        <f>1/5</f>
        <v>0.2</v>
      </c>
      <c r="I63" s="11">
        <v>0.4</v>
      </c>
      <c r="J63" s="16"/>
    </row>
    <row r="64" spans="1:10" ht="201.6" x14ac:dyDescent="0.3">
      <c r="A64" s="12">
        <v>67</v>
      </c>
      <c r="B64" s="1" t="s">
        <v>95</v>
      </c>
      <c r="C64" s="10" t="s">
        <v>153</v>
      </c>
      <c r="D64" s="11">
        <v>1</v>
      </c>
      <c r="E64" s="10" t="s">
        <v>249</v>
      </c>
      <c r="F64" s="11">
        <v>1</v>
      </c>
      <c r="G64" s="10" t="s">
        <v>342</v>
      </c>
      <c r="H64" s="11">
        <v>1</v>
      </c>
      <c r="I64" s="11">
        <v>1</v>
      </c>
      <c r="J64" s="16"/>
    </row>
    <row r="65" spans="1:10" ht="216" x14ac:dyDescent="0.3">
      <c r="A65" s="12">
        <v>69</v>
      </c>
      <c r="B65" s="1" t="s">
        <v>96</v>
      </c>
      <c r="C65" s="10" t="s">
        <v>152</v>
      </c>
      <c r="D65" s="11">
        <v>1</v>
      </c>
      <c r="E65" s="10" t="s">
        <v>250</v>
      </c>
      <c r="F65" s="11">
        <f>1/2</f>
        <v>0.5</v>
      </c>
      <c r="G65" s="10" t="s">
        <v>343</v>
      </c>
      <c r="H65" s="11">
        <f>1/2</f>
        <v>0.5</v>
      </c>
      <c r="I65" s="11">
        <v>1</v>
      </c>
      <c r="J65" s="16"/>
    </row>
    <row r="66" spans="1:10" ht="115.2" x14ac:dyDescent="0.3">
      <c r="A66" s="12">
        <v>70</v>
      </c>
      <c r="B66" s="1" t="s">
        <v>93</v>
      </c>
      <c r="C66" s="10" t="s">
        <v>154</v>
      </c>
      <c r="D66" s="11">
        <v>1</v>
      </c>
      <c r="E66" s="10" t="s">
        <v>251</v>
      </c>
      <c r="F66" s="11">
        <v>1</v>
      </c>
      <c r="G66" s="10" t="s">
        <v>344</v>
      </c>
      <c r="H66" s="11">
        <v>1</v>
      </c>
      <c r="I66" s="11">
        <v>1</v>
      </c>
      <c r="J66" s="16"/>
    </row>
    <row r="67" spans="1:10" ht="158.4" x14ac:dyDescent="0.3">
      <c r="A67" s="12">
        <v>71</v>
      </c>
      <c r="B67" s="1" t="s">
        <v>97</v>
      </c>
      <c r="C67" s="10" t="s">
        <v>155</v>
      </c>
      <c r="D67" s="11">
        <f>1/4</f>
        <v>0.25</v>
      </c>
      <c r="E67" s="10" t="s">
        <v>252</v>
      </c>
      <c r="F67" s="11">
        <f>1/4</f>
        <v>0.25</v>
      </c>
      <c r="G67" s="10" t="s">
        <v>345</v>
      </c>
      <c r="H67" s="11">
        <f>1/4</f>
        <v>0.25</v>
      </c>
      <c r="I67" s="11">
        <v>0.25</v>
      </c>
      <c r="J67" s="16"/>
    </row>
    <row r="68" spans="1:10" ht="100.8" x14ac:dyDescent="0.3">
      <c r="A68" s="12">
        <v>73</v>
      </c>
      <c r="B68" s="1" t="s">
        <v>63</v>
      </c>
      <c r="C68" s="10" t="s">
        <v>156</v>
      </c>
      <c r="D68" s="11">
        <v>1</v>
      </c>
      <c r="E68" s="10" t="s">
        <v>253</v>
      </c>
      <c r="F68" s="11">
        <v>1</v>
      </c>
      <c r="G68" s="10" t="s">
        <v>346</v>
      </c>
      <c r="H68" s="11">
        <v>1</v>
      </c>
      <c r="I68" s="11">
        <v>1</v>
      </c>
      <c r="J68" s="16"/>
    </row>
    <row r="69" spans="1:10" ht="201.6" x14ac:dyDescent="0.3">
      <c r="A69" s="12">
        <v>74</v>
      </c>
      <c r="B69" s="1" t="s">
        <v>98</v>
      </c>
      <c r="C69" s="10" t="s">
        <v>157</v>
      </c>
      <c r="D69" s="11">
        <v>1</v>
      </c>
      <c r="E69" s="10" t="s">
        <v>254</v>
      </c>
      <c r="F69" s="11">
        <v>1</v>
      </c>
      <c r="G69" s="10" t="s">
        <v>347</v>
      </c>
      <c r="H69" s="11">
        <v>1</v>
      </c>
      <c r="I69" s="11">
        <v>1</v>
      </c>
      <c r="J69" s="16"/>
    </row>
    <row r="70" spans="1:10" ht="129.6" x14ac:dyDescent="0.3">
      <c r="A70" s="12">
        <v>75</v>
      </c>
      <c r="B70" s="1" t="s">
        <v>99</v>
      </c>
      <c r="C70" s="10" t="s">
        <v>158</v>
      </c>
      <c r="D70" s="11">
        <v>1</v>
      </c>
      <c r="E70" s="10" t="s">
        <v>255</v>
      </c>
      <c r="F70" s="11">
        <v>1</v>
      </c>
      <c r="G70" s="10" t="s">
        <v>348</v>
      </c>
      <c r="H70" s="11">
        <v>1</v>
      </c>
      <c r="I70" s="11">
        <v>1</v>
      </c>
      <c r="J70" s="16"/>
    </row>
    <row r="71" spans="1:10" ht="144" x14ac:dyDescent="0.3">
      <c r="A71" s="12">
        <v>76</v>
      </c>
      <c r="B71" s="1" t="s">
        <v>1</v>
      </c>
      <c r="C71" s="10" t="s">
        <v>159</v>
      </c>
      <c r="D71" s="11">
        <v>1</v>
      </c>
      <c r="E71" s="10" t="s">
        <v>256</v>
      </c>
      <c r="F71" s="11">
        <v>1</v>
      </c>
      <c r="G71" s="10" t="s">
        <v>349</v>
      </c>
      <c r="H71" s="11">
        <v>0</v>
      </c>
      <c r="I71" s="11">
        <v>1</v>
      </c>
      <c r="J71" s="16"/>
    </row>
    <row r="72" spans="1:10" ht="72" x14ac:dyDescent="0.3">
      <c r="A72" s="12">
        <v>77</v>
      </c>
      <c r="B72" s="1" t="s">
        <v>100</v>
      </c>
      <c r="C72" s="10" t="s">
        <v>160</v>
      </c>
      <c r="D72" s="11">
        <f>1/4</f>
        <v>0.25</v>
      </c>
      <c r="E72" s="10" t="s">
        <v>257</v>
      </c>
      <c r="F72" s="11">
        <v>0</v>
      </c>
      <c r="G72" s="10" t="s">
        <v>350</v>
      </c>
      <c r="H72" s="11">
        <f>1/4</f>
        <v>0.25</v>
      </c>
      <c r="I72" s="11">
        <v>0.25</v>
      </c>
      <c r="J72" s="16"/>
    </row>
    <row r="73" spans="1:10" ht="158.4" x14ac:dyDescent="0.3">
      <c r="A73" s="12">
        <v>78</v>
      </c>
      <c r="B73" s="1" t="s">
        <v>101</v>
      </c>
      <c r="C73" s="10" t="s">
        <v>161</v>
      </c>
      <c r="D73" s="11">
        <f>4/8</f>
        <v>0.5</v>
      </c>
      <c r="E73" s="10" t="s">
        <v>258</v>
      </c>
      <c r="F73" s="11">
        <f>3/8</f>
        <v>0.375</v>
      </c>
      <c r="G73" s="10" t="s">
        <v>351</v>
      </c>
      <c r="H73" s="11">
        <f>4/8</f>
        <v>0.5</v>
      </c>
      <c r="I73" s="11">
        <v>0.625</v>
      </c>
      <c r="J73" s="16"/>
    </row>
    <row r="74" spans="1:10" ht="100.8" x14ac:dyDescent="0.3">
      <c r="A74" s="12">
        <v>79</v>
      </c>
      <c r="B74" s="1" t="s">
        <v>102</v>
      </c>
      <c r="C74" s="10" t="s">
        <v>162</v>
      </c>
      <c r="D74" s="11">
        <f>1/5</f>
        <v>0.2</v>
      </c>
      <c r="E74" s="10" t="s">
        <v>259</v>
      </c>
      <c r="F74" s="11">
        <f>1/5</f>
        <v>0.2</v>
      </c>
      <c r="G74" s="10" t="s">
        <v>352</v>
      </c>
      <c r="H74" s="11">
        <f>1/5</f>
        <v>0.2</v>
      </c>
      <c r="I74" s="11">
        <v>0.4</v>
      </c>
      <c r="J74" s="16"/>
    </row>
    <row r="75" spans="1:10" ht="86.4" x14ac:dyDescent="0.3">
      <c r="A75" s="12">
        <v>80</v>
      </c>
      <c r="B75" s="1" t="s">
        <v>37</v>
      </c>
      <c r="C75" s="10" t="s">
        <v>163</v>
      </c>
      <c r="D75" s="11">
        <v>0</v>
      </c>
      <c r="E75" s="10" t="s">
        <v>260</v>
      </c>
      <c r="F75" s="11">
        <v>0</v>
      </c>
      <c r="G75" s="10" t="s">
        <v>353</v>
      </c>
      <c r="H75" s="11">
        <v>0</v>
      </c>
      <c r="I75" s="11">
        <v>0</v>
      </c>
      <c r="J75" s="16"/>
    </row>
    <row r="76" spans="1:10" ht="187.2" x14ac:dyDescent="0.3">
      <c r="A76" s="12">
        <v>81</v>
      </c>
      <c r="B76" s="1" t="s">
        <v>103</v>
      </c>
      <c r="C76" s="10" t="s">
        <v>164</v>
      </c>
      <c r="D76" s="11">
        <v>1</v>
      </c>
      <c r="E76" s="10" t="s">
        <v>273</v>
      </c>
      <c r="F76" s="11">
        <v>1</v>
      </c>
      <c r="G76" s="10" t="s">
        <v>354</v>
      </c>
      <c r="H76" s="11">
        <v>1</v>
      </c>
      <c r="I76" s="11">
        <v>1</v>
      </c>
      <c r="J76" s="16"/>
    </row>
    <row r="77" spans="1:10" ht="230.4" x14ac:dyDescent="0.3">
      <c r="A77" s="12">
        <v>82</v>
      </c>
      <c r="B77" s="1" t="s">
        <v>104</v>
      </c>
      <c r="C77" s="10" t="s">
        <v>165</v>
      </c>
      <c r="D77" s="11">
        <f>2/6</f>
        <v>0.33333333333333331</v>
      </c>
      <c r="E77" s="10" t="s">
        <v>261</v>
      </c>
      <c r="F77" s="11">
        <f>3/6</f>
        <v>0.5</v>
      </c>
      <c r="G77" s="10" t="s">
        <v>355</v>
      </c>
      <c r="H77" s="11">
        <f>1/6</f>
        <v>0.16666666666666666</v>
      </c>
      <c r="I77" s="11">
        <v>0.66666666666666663</v>
      </c>
      <c r="J77" s="16"/>
    </row>
    <row r="78" spans="1:10" ht="187.2" x14ac:dyDescent="0.3">
      <c r="A78" s="12">
        <v>83</v>
      </c>
      <c r="B78" s="1" t="s">
        <v>105</v>
      </c>
      <c r="C78" s="10" t="s">
        <v>166</v>
      </c>
      <c r="D78" s="11">
        <f>2/3</f>
        <v>0.66666666666666663</v>
      </c>
      <c r="E78" s="10" t="s">
        <v>262</v>
      </c>
      <c r="F78" s="11">
        <f>2/3</f>
        <v>0.66666666666666663</v>
      </c>
      <c r="G78" s="10" t="s">
        <v>356</v>
      </c>
      <c r="H78" s="11">
        <f>1/3</f>
        <v>0.33333333333333331</v>
      </c>
      <c r="I78" s="11">
        <v>0.66666666666666663</v>
      </c>
      <c r="J78" s="16"/>
    </row>
    <row r="79" spans="1:10" ht="115.2" x14ac:dyDescent="0.3">
      <c r="A79" s="12">
        <v>84</v>
      </c>
      <c r="B79" s="1" t="s">
        <v>106</v>
      </c>
      <c r="C79" s="10" t="s">
        <v>167</v>
      </c>
      <c r="D79" s="11">
        <v>1</v>
      </c>
      <c r="E79" s="10" t="s">
        <v>263</v>
      </c>
      <c r="F79" s="11">
        <v>1</v>
      </c>
      <c r="G79" s="10" t="s">
        <v>357</v>
      </c>
      <c r="H79" s="11">
        <v>1</v>
      </c>
      <c r="I79" s="11">
        <v>1</v>
      </c>
      <c r="J79" s="16"/>
    </row>
    <row r="80" spans="1:10" ht="201.6" x14ac:dyDescent="0.3">
      <c r="A80" s="12">
        <v>85</v>
      </c>
      <c r="B80" s="1" t="s">
        <v>107</v>
      </c>
      <c r="C80" s="10" t="s">
        <v>168</v>
      </c>
      <c r="D80" s="11">
        <v>1</v>
      </c>
      <c r="E80" s="10" t="s">
        <v>264</v>
      </c>
      <c r="F80" s="11">
        <v>1</v>
      </c>
      <c r="G80" s="10" t="s">
        <v>358</v>
      </c>
      <c r="H80" s="11">
        <v>1</v>
      </c>
      <c r="I80" s="11">
        <v>1</v>
      </c>
      <c r="J80" s="16"/>
    </row>
    <row r="81" spans="1:10" ht="144" x14ac:dyDescent="0.3">
      <c r="A81" s="12">
        <v>86</v>
      </c>
      <c r="B81" s="1" t="s">
        <v>108</v>
      </c>
      <c r="C81" s="10" t="s">
        <v>169</v>
      </c>
      <c r="D81" s="11">
        <v>1</v>
      </c>
      <c r="E81" s="10" t="s">
        <v>265</v>
      </c>
      <c r="F81" s="11">
        <f>1/2</f>
        <v>0.5</v>
      </c>
      <c r="G81" s="10" t="s">
        <v>359</v>
      </c>
      <c r="H81" s="11">
        <v>0.5</v>
      </c>
      <c r="I81" s="11">
        <v>1</v>
      </c>
      <c r="J81" s="16"/>
    </row>
    <row r="82" spans="1:10" ht="187.2" x14ac:dyDescent="0.3">
      <c r="A82" s="12">
        <v>87</v>
      </c>
      <c r="B82" s="1" t="s">
        <v>109</v>
      </c>
      <c r="C82" s="10" t="s">
        <v>170</v>
      </c>
      <c r="D82" s="11">
        <v>1</v>
      </c>
      <c r="E82" s="10" t="s">
        <v>266</v>
      </c>
      <c r="F82" s="11">
        <v>1</v>
      </c>
      <c r="G82" s="10" t="s">
        <v>360</v>
      </c>
      <c r="H82" s="11">
        <f>2/3</f>
        <v>0.66666666666666663</v>
      </c>
      <c r="I82" s="11">
        <v>1</v>
      </c>
      <c r="J82" s="16"/>
    </row>
    <row r="83" spans="1:10" ht="201.6" x14ac:dyDescent="0.3">
      <c r="A83" s="12">
        <v>88</v>
      </c>
      <c r="B83" s="1" t="s">
        <v>110</v>
      </c>
      <c r="C83" s="10" t="s">
        <v>171</v>
      </c>
      <c r="D83" s="11">
        <v>0</v>
      </c>
      <c r="E83" s="10" t="s">
        <v>267</v>
      </c>
      <c r="F83" s="11">
        <v>0</v>
      </c>
      <c r="G83" s="10" t="s">
        <v>361</v>
      </c>
      <c r="H83" s="11">
        <v>0</v>
      </c>
      <c r="I83" s="11">
        <v>0</v>
      </c>
      <c r="J83" s="16"/>
    </row>
    <row r="84" spans="1:10" ht="129.6" x14ac:dyDescent="0.3">
      <c r="A84" s="12">
        <v>89</v>
      </c>
      <c r="B84" s="1" t="s">
        <v>111</v>
      </c>
      <c r="C84" s="10" t="s">
        <v>172</v>
      </c>
      <c r="D84" s="11">
        <f>2/6</f>
        <v>0.33333333333333331</v>
      </c>
      <c r="E84" s="10" t="s">
        <v>268</v>
      </c>
      <c r="F84" s="11">
        <f>2/6</f>
        <v>0.33333333333333331</v>
      </c>
      <c r="G84" s="10" t="s">
        <v>362</v>
      </c>
      <c r="H84" s="11">
        <v>0</v>
      </c>
      <c r="I84" s="11">
        <v>0.5</v>
      </c>
      <c r="J84" s="16"/>
    </row>
    <row r="85" spans="1:10" ht="172.8" x14ac:dyDescent="0.3">
      <c r="A85" s="12">
        <v>90</v>
      </c>
      <c r="B85" s="1" t="s">
        <v>54</v>
      </c>
      <c r="C85" s="10" t="s">
        <v>173</v>
      </c>
      <c r="D85" s="11">
        <v>1</v>
      </c>
      <c r="E85" s="10" t="s">
        <v>269</v>
      </c>
      <c r="F85" s="11">
        <v>1</v>
      </c>
      <c r="G85" s="10" t="s">
        <v>363</v>
      </c>
      <c r="H85" s="11">
        <v>1</v>
      </c>
      <c r="I85" s="11">
        <v>1</v>
      </c>
      <c r="J85" s="16"/>
    </row>
    <row r="86" spans="1:10" ht="144" x14ac:dyDescent="0.3">
      <c r="A86" s="12">
        <v>91</v>
      </c>
      <c r="B86" s="1" t="s">
        <v>53</v>
      </c>
      <c r="C86" s="10" t="s">
        <v>174</v>
      </c>
      <c r="D86" s="11">
        <v>1</v>
      </c>
      <c r="E86" s="10" t="s">
        <v>270</v>
      </c>
      <c r="F86" s="11">
        <v>0</v>
      </c>
      <c r="G86" s="10" t="s">
        <v>364</v>
      </c>
      <c r="H86" s="11">
        <v>0</v>
      </c>
      <c r="I86" s="11">
        <v>1</v>
      </c>
      <c r="J86" s="16"/>
    </row>
    <row r="87" spans="1:10" ht="100.8" x14ac:dyDescent="0.3">
      <c r="A87" s="12">
        <v>92</v>
      </c>
      <c r="B87" s="1" t="s">
        <v>52</v>
      </c>
      <c r="C87" s="10" t="s">
        <v>175</v>
      </c>
      <c r="D87" s="11">
        <v>0</v>
      </c>
      <c r="E87" s="10" t="s">
        <v>271</v>
      </c>
      <c r="F87" s="11">
        <v>0</v>
      </c>
      <c r="G87" s="10" t="s">
        <v>365</v>
      </c>
      <c r="H87" s="11">
        <v>0</v>
      </c>
      <c r="I87" s="11">
        <v>0</v>
      </c>
      <c r="J87" s="16"/>
    </row>
    <row r="88" spans="1:10" ht="230.4" x14ac:dyDescent="0.3">
      <c r="A88" s="12">
        <v>93</v>
      </c>
      <c r="B88" s="1" t="s">
        <v>51</v>
      </c>
      <c r="C88" s="10" t="s">
        <v>176</v>
      </c>
      <c r="D88" s="11">
        <v>1</v>
      </c>
      <c r="E88" s="10" t="s">
        <v>272</v>
      </c>
      <c r="F88" s="11">
        <v>0</v>
      </c>
      <c r="G88" s="10" t="s">
        <v>366</v>
      </c>
      <c r="H88" s="11">
        <v>0</v>
      </c>
      <c r="I88" s="11">
        <v>1</v>
      </c>
      <c r="J88" s="16"/>
    </row>
    <row r="89" spans="1:10" ht="115.2" x14ac:dyDescent="0.3">
      <c r="A89" s="12">
        <v>94</v>
      </c>
      <c r="B89" s="1" t="s">
        <v>50</v>
      </c>
      <c r="C89" s="10" t="s">
        <v>177</v>
      </c>
      <c r="D89" s="11">
        <f>2/3</f>
        <v>0.66666666666666663</v>
      </c>
      <c r="E89" s="10" t="s">
        <v>274</v>
      </c>
      <c r="F89" s="11">
        <f>2/3</f>
        <v>0.66666666666666663</v>
      </c>
      <c r="G89" s="10" t="s">
        <v>367</v>
      </c>
      <c r="H89" s="11">
        <f>2/3</f>
        <v>0.66666666666666663</v>
      </c>
      <c r="I89" s="11">
        <v>0.66666666666666663</v>
      </c>
      <c r="J89" s="16"/>
    </row>
    <row r="90" spans="1:10" ht="187.2" x14ac:dyDescent="0.3">
      <c r="A90" s="12">
        <v>95</v>
      </c>
      <c r="B90" s="1" t="s">
        <v>49</v>
      </c>
      <c r="C90" s="10" t="s">
        <v>178</v>
      </c>
      <c r="D90" s="11">
        <v>0</v>
      </c>
      <c r="E90" s="10" t="s">
        <v>275</v>
      </c>
      <c r="F90" s="11">
        <v>0</v>
      </c>
      <c r="G90" s="10" t="s">
        <v>368</v>
      </c>
      <c r="H90" s="11">
        <v>0</v>
      </c>
      <c r="I90" s="11">
        <v>0</v>
      </c>
      <c r="J90" s="16"/>
    </row>
    <row r="91" spans="1:10" ht="158.4" x14ac:dyDescent="0.3">
      <c r="A91" s="12">
        <v>96</v>
      </c>
      <c r="B91" s="1" t="s">
        <v>48</v>
      </c>
      <c r="C91" s="10" t="s">
        <v>179</v>
      </c>
      <c r="D91" s="11">
        <v>1</v>
      </c>
      <c r="E91" s="10" t="s">
        <v>276</v>
      </c>
      <c r="F91" s="11">
        <v>1</v>
      </c>
      <c r="G91" s="10" t="s">
        <v>369</v>
      </c>
      <c r="H91" s="11">
        <v>0</v>
      </c>
      <c r="I91" s="11">
        <v>1</v>
      </c>
      <c r="J91" s="16"/>
    </row>
    <row r="92" spans="1:10" ht="288" x14ac:dyDescent="0.3">
      <c r="A92" s="12">
        <v>97</v>
      </c>
      <c r="B92" s="1" t="s">
        <v>47</v>
      </c>
      <c r="C92" s="10" t="s">
        <v>180</v>
      </c>
      <c r="D92" s="11">
        <v>0</v>
      </c>
      <c r="E92" s="10" t="s">
        <v>277</v>
      </c>
      <c r="F92" s="11">
        <v>1</v>
      </c>
      <c r="G92" s="10" t="s">
        <v>370</v>
      </c>
      <c r="H92" s="11">
        <v>0</v>
      </c>
      <c r="I92" s="11">
        <v>1</v>
      </c>
      <c r="J92" s="16"/>
    </row>
    <row r="93" spans="1:10" ht="72" x14ac:dyDescent="0.3">
      <c r="A93" s="12">
        <v>98</v>
      </c>
      <c r="B93" s="1" t="s">
        <v>46</v>
      </c>
      <c r="C93" s="10" t="s">
        <v>181</v>
      </c>
      <c r="D93" s="11">
        <f>1/2</f>
        <v>0.5</v>
      </c>
      <c r="E93" s="10" t="s">
        <v>278</v>
      </c>
      <c r="F93" s="11">
        <v>1</v>
      </c>
      <c r="G93" s="10" t="s">
        <v>371</v>
      </c>
      <c r="H93" s="11">
        <v>0.5</v>
      </c>
      <c r="I93" s="11">
        <v>1</v>
      </c>
      <c r="J93" s="16"/>
    </row>
    <row r="94" spans="1:10" ht="172.8" x14ac:dyDescent="0.3">
      <c r="A94" s="12">
        <v>99</v>
      </c>
      <c r="B94" s="1" t="s">
        <v>45</v>
      </c>
      <c r="C94" s="10" t="s">
        <v>182</v>
      </c>
      <c r="D94" s="11">
        <v>0</v>
      </c>
      <c r="E94" s="10" t="s">
        <v>279</v>
      </c>
      <c r="F94" s="11">
        <v>0</v>
      </c>
      <c r="G94" s="10" t="s">
        <v>372</v>
      </c>
      <c r="H94" s="11">
        <v>0</v>
      </c>
      <c r="I94" s="11">
        <v>0</v>
      </c>
      <c r="J94" s="16"/>
    </row>
    <row r="95" spans="1:10" ht="115.2" x14ac:dyDescent="0.3">
      <c r="A95" s="12">
        <v>100</v>
      </c>
      <c r="B95" s="1" t="s">
        <v>34</v>
      </c>
      <c r="C95" s="10" t="s">
        <v>183</v>
      </c>
      <c r="D95" s="11">
        <v>1</v>
      </c>
      <c r="E95" s="10" t="s">
        <v>280</v>
      </c>
      <c r="F95" s="11">
        <v>1</v>
      </c>
      <c r="G95" s="10" t="s">
        <v>373</v>
      </c>
      <c r="H95" s="11">
        <v>1</v>
      </c>
      <c r="I95" s="11">
        <v>1</v>
      </c>
      <c r="J95" s="16"/>
    </row>
    <row r="96" spans="1:10" x14ac:dyDescent="0.3">
      <c r="A96" s="13" t="s">
        <v>42</v>
      </c>
      <c r="B96" s="1"/>
      <c r="C96" s="13" t="s">
        <v>375</v>
      </c>
      <c r="D96" s="19" t="s">
        <v>381</v>
      </c>
      <c r="E96" s="13" t="s">
        <v>375</v>
      </c>
      <c r="F96" s="19" t="s">
        <v>381</v>
      </c>
      <c r="G96" s="13" t="s">
        <v>375</v>
      </c>
      <c r="H96" s="19" t="s">
        <v>381</v>
      </c>
      <c r="I96" s="13" t="s">
        <v>375</v>
      </c>
      <c r="J96" s="19" t="s">
        <v>381</v>
      </c>
    </row>
    <row r="97" spans="1:10" s="9" customFormat="1" x14ac:dyDescent="0.3">
      <c r="A97" s="12">
        <f>COUNT(A3:A95)</f>
        <v>93</v>
      </c>
      <c r="B97" s="1"/>
      <c r="C97" s="14">
        <f>D97/A97</f>
        <v>0.6387096774193548</v>
      </c>
      <c r="D97" s="11">
        <f>SUM(D3:D95)</f>
        <v>59.4</v>
      </c>
      <c r="E97" s="23">
        <f>F97/$A$97</f>
        <v>0.56611623143881207</v>
      </c>
      <c r="F97" s="11">
        <f>SUM(F3:F95)</f>
        <v>52.648809523809518</v>
      </c>
      <c r="G97" s="23">
        <f>H97/$A$97</f>
        <v>0.50739887352790569</v>
      </c>
      <c r="H97" s="11">
        <f>SUM(H3:H95)</f>
        <v>47.188095238095229</v>
      </c>
      <c r="I97" s="14">
        <v>0.7305555555555554</v>
      </c>
      <c r="J97" s="11">
        <v>67.941666666666649</v>
      </c>
    </row>
    <row r="98" spans="1:10" x14ac:dyDescent="0.3">
      <c r="H98" s="7"/>
    </row>
    <row r="100" spans="1:10" x14ac:dyDescent="0.3">
      <c r="D100" s="30"/>
    </row>
    <row r="101" spans="1:10" x14ac:dyDescent="0.3">
      <c r="B101" s="37"/>
      <c r="C101" s="33"/>
      <c r="D101" s="32"/>
      <c r="E101" s="33"/>
      <c r="F101" s="32"/>
    </row>
    <row r="102" spans="1:10" x14ac:dyDescent="0.3">
      <c r="B102" s="38"/>
      <c r="C102" s="39"/>
      <c r="D102" s="40"/>
      <c r="E102" s="39"/>
      <c r="F102" s="40"/>
    </row>
    <row r="103" spans="1:10" x14ac:dyDescent="0.3">
      <c r="B103" s="33"/>
      <c r="C103" s="40"/>
      <c r="D103" s="41"/>
      <c r="E103" s="40"/>
      <c r="F103" s="41"/>
    </row>
    <row r="104" spans="1:10" x14ac:dyDescent="0.3">
      <c r="B104" s="33"/>
      <c r="C104" s="39"/>
      <c r="D104" s="39"/>
      <c r="E104" s="39"/>
      <c r="F104" s="39"/>
    </row>
    <row r="105" spans="1:10" x14ac:dyDescent="0.3">
      <c r="B105" s="37"/>
      <c r="C105" s="31"/>
      <c r="D105" s="42"/>
      <c r="E105" s="31"/>
      <c r="F105" s="42"/>
    </row>
    <row r="106" spans="1:10" x14ac:dyDescent="0.3">
      <c r="B106" s="37"/>
      <c r="C106" s="36"/>
      <c r="D106" s="36"/>
      <c r="E106" s="36"/>
      <c r="F106" s="41"/>
    </row>
    <row r="107" spans="1:10" x14ac:dyDescent="0.3">
      <c r="C107" s="33"/>
      <c r="D107" s="34"/>
    </row>
    <row r="108" spans="1:10" x14ac:dyDescent="0.3">
      <c r="C108" s="33"/>
      <c r="D108" s="34"/>
    </row>
  </sheetData>
  <mergeCells count="3">
    <mergeCell ref="C1:D1"/>
    <mergeCell ref="E1:F1"/>
    <mergeCell ref="G1:H1"/>
  </mergeCells>
  <pageMargins left="0.7" right="0.7" top="0.75" bottom="0.75" header="0.3" footer="0.3"/>
  <pageSetup paperSize="16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Lenient Accuracy Calculation</vt:lpstr>
      <vt:lpstr>Recall@10 Calculation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Yuvraj Gupta</dc:creator>
  <cp:lastModifiedBy>Yuvraj.Gupta</cp:lastModifiedBy>
  <cp:lastPrinted>2026-04-25T03:20:37Z</cp:lastPrinted>
  <dcterms:created xsi:type="dcterms:W3CDTF">2025-11-24T10:34:28Z</dcterms:created>
  <dcterms:modified xsi:type="dcterms:W3CDTF">2026-04-25T03:21:18Z</dcterms:modified>
</cp:coreProperties>
</file>